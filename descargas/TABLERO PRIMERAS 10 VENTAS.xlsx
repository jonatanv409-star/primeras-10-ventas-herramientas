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IEZA AQUÍ 👋" state="visible" r:id="rId4"/>
    <sheet sheetId="2" name="MIS 10 VENTAS" state="visible" r:id="rId5"/>
    <sheet sheetId="3" name="TABLERO" state="visible" r:id="rId6"/>
    <sheet sheetId="4" name="FICHA DE PEDIDO" state="visible" r:id="rId7"/>
  </sheets>
  <calcPr calcId="171027"/>
</workbook>
</file>

<file path=xl/sharedStrings.xml><?xml version="1.0" encoding="utf-8"?>
<sst xmlns="http://schemas.openxmlformats.org/spreadsheetml/2006/main" count="73" uniqueCount="64">
  <si>
    <t>TABLERO PRIMERAS 10 VENTAS</t>
  </si>
  <si>
    <t>Herramienta 14 · Aquí ves qué pasó después de contactar y cuántas ventas llevas. Incluye la Ficha de Pedido (Herramienta 13).</t>
  </si>
  <si>
    <t>CÓMO USARLO</t>
  </si>
  <si>
    <t>1.  Trae tus prospectos del Radar (sin escribirlos otra vez).</t>
  </si>
  <si>
    <t>En tu Radar selecciona las columnas B a E de MI RADAR (Nombre, Tipo, Zona, Canal), cópialas y pégalas en la columna B de la pestaña TABLERO.</t>
  </si>
  <si>
    <t>2.  Anota qué pasa con cada persona.</t>
  </si>
  <si>
    <t>En la pestaña TABLERO elige Sí o No en las columnas Contactado, Respondió, Pedido y Entregado.</t>
  </si>
  <si>
    <t>3.  Cuando haya un pedido, escribe el monto.</t>
  </si>
  <si>
    <t>Si quieres, anota también el costo: la ganancia se calcula sola.</t>
  </si>
  <si>
    <t>4.  Mira MIS 10 VENTAS.</t>
  </si>
  <si>
    <t>Cada pedido llena una casilla. No hay que hacer nada más.</t>
  </si>
  <si>
    <t>5.  Para cada pedido, usa la FICHA DE PEDIDO.</t>
  </si>
  <si>
    <t>Duplica la pestaña (clic derecho → Mover o copiar / Duplicar) y completa una ficha por pedido.</t>
  </si>
  <si>
    <t>RADAR Y TABLERO: NO SON LO MISMO</t>
  </si>
  <si>
    <t>RADAR: a quién puedes contactar y cuál es tu próxima acción.</t>
  </si>
  <si>
    <t>TABLERO: qué pasó después de contactar y cuántas ventas estás consiguiendo.</t>
  </si>
  <si>
    <t>COLORES</t>
  </si>
  <si>
    <t>Rosado: lo escribes o eliges tú</t>
  </si>
  <si>
    <t>Durazno: se calcula solo (no lo toques)</t>
  </si>
  <si>
    <t>Este Tablero no promete ventas: solo te ayuda a ver tu avance. Registra únicamente pedidos y montos reales. Contactar no significa presionar.</t>
  </si>
  <si>
    <t>MIS PRIMERAS 10 VENTAS</t>
  </si>
  <si>
    <t>Cada pedido que marcas con “Sí” en TABLERO llena una casilla.</t>
  </si>
  <si>
    <t>Venta</t>
  </si>
  <si>
    <t>TUS CIFRAS</t>
  </si>
  <si>
    <t>Prospectos cargados</t>
  </si>
  <si>
    <t>Ventas (pedidos con “Sí”)</t>
  </si>
  <si>
    <t>Pedidos entregados</t>
  </si>
  <si>
    <t>Contactados</t>
  </si>
  <si>
    <t>Respondieron</t>
  </si>
  <si>
    <t>Total vendido</t>
  </si>
  <si>
    <t>Ganancia registrada</t>
  </si>
  <si>
    <t>La ganancia solo suma los pedidos en los que anotaste monto y costo. Los cuadros se actualizan solos.</t>
  </si>
  <si>
    <t>TABLERO · qué pasó después de contactar</t>
  </si>
  <si>
    <t>Pega tus prospectos del Radar en las columnas B a E (Nombre, Tipo, Zona, Canal). Después elige Sí o No en las demás columnas.</t>
  </si>
  <si>
    <t>Copiar desde el Radar → selecciona B a E en MI RADAR (Nombre, Tipo, Zona, Canal posible) → pega en B9 de esta hoja. Las columnas coinciden a propósito.</t>
  </si>
  <si>
    <t>N.º</t>
  </si>
  <si>
    <t>Nombre / negocio</t>
  </si>
  <si>
    <t>Tipo de prospecto</t>
  </si>
  <si>
    <t>Zona</t>
  </si>
  <si>
    <t>Canal</t>
  </si>
  <si>
    <t>¿Contactado?</t>
  </si>
  <si>
    <t>¿Respondió?</t>
  </si>
  <si>
    <t>¿Hizo pedido?</t>
  </si>
  <si>
    <t>Monto del pedido</t>
  </si>
  <si>
    <t>Costo (opcional)</t>
  </si>
  <si>
    <t>Ganancia (auto)</t>
  </si>
  <si>
    <t>¿Entregado?</t>
  </si>
  <si>
    <t>Seguimiento (qué sigue y cuándo)</t>
  </si>
  <si>
    <t>Etapa (auto)</t>
  </si>
  <si>
    <t>FICHA DE PEDIDO</t>
  </si>
  <si>
    <t>Herramienta 13 · Una ficha por pedido. Duplica esta pestaña (clic derecho → Mover o copiar / Duplicar) o imprímela.</t>
  </si>
  <si>
    <t>Cliente</t>
  </si>
  <si>
    <t>Contacto (WhatsApp, teléfono…)</t>
  </si>
  <si>
    <t>Producto</t>
  </si>
  <si>
    <t>Cantidad</t>
  </si>
  <si>
    <t>Personalización (si corresponde)</t>
  </si>
  <si>
    <t>Fecha de entrega</t>
  </si>
  <si>
    <t>Hora</t>
  </si>
  <si>
    <t>Entrega o retiro</t>
  </si>
  <si>
    <t>Zona o dirección (si corresponde)</t>
  </si>
  <si>
    <t>Total</t>
  </si>
  <si>
    <t>Estado del pago</t>
  </si>
  <si>
    <t>Notas</t>
  </si>
  <si>
    <t>Antes de dar el pedido por cerrado, confirma: producto y cantidad · fecha y hora · entrega o retiro · total · forma de pago. Cuando esté claro, anota en TABLERO: ¿Hizo pedido? = Sí y el monto. El anticipo o pago previo es una política que tú decides y comunicas antes de aceptar 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</si>
</sst>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22"/>
      <name val="Georgia"/>
    </font>
    <font>
      <i/>
      <color rgb="FF6B4A42"/>
      <sz val="11"/>
      <name val="Calibri"/>
    </font>
    <font>
      <b/>
      <color rgb="FFB34640"/>
      <sz val="12"/>
      <name val="Calibri"/>
    </font>
    <font>
      <b/>
      <color rgb="FF3B1F1A"/>
      <sz val="11"/>
      <name val="Calibri"/>
    </font>
    <font>
      <color rgb="FF6B4A42"/>
      <sz val="11"/>
      <name val="Calibri"/>
    </font>
    <font>
      <b/>
      <color rgb="FFFFFFFF"/>
      <sz val="20"/>
      <name val="Georgia"/>
    </font>
    <font>
      <b/>
      <color rgb="FFB34640"/>
      <sz val="24"/>
      <name val="Georgia"/>
    </font>
    <font>
      <b/>
      <color rgb="FFB34640"/>
      <sz val="11"/>
      <name val="Calibri"/>
    </font>
    <font>
      <b/>
      <color rgb="FF6B4A42"/>
      <sz val="10"/>
      <name val="Calibri"/>
    </font>
    <font>
      <b/>
      <color rgb="FF6B4A42"/>
      <sz val="26"/>
      <name val="Calibri"/>
    </font>
    <font>
      <color rgb="FF6B4A42"/>
      <sz val="9"/>
      <name val="Calibri"/>
    </font>
    <font>
      <b/>
      <color rgb="FFB34640"/>
      <sz val="14"/>
      <name val="Calibri"/>
    </font>
    <font>
      <i/>
      <color rgb="FF6B4A42"/>
      <sz val="10"/>
      <name val="Calibri"/>
    </font>
    <font>
      <b/>
      <color rgb="FFFFFFFF"/>
      <sz val="16"/>
      <name val="Georgia"/>
    </font>
    <font>
      <b/>
      <color rgb="FFB34640"/>
      <sz val="13"/>
      <name val="Calibri"/>
    </font>
    <font>
      <b/>
      <color rgb="FFFFFFFF"/>
      <sz val="11"/>
      <name val="Calibri"/>
    </font>
    <font>
      <b/>
      <color rgb="FF6B4A42"/>
      <sz val="11"/>
      <name val="Calibri"/>
    </font>
    <font>
      <color rgb="FF3B1F1A"/>
      <sz val="11"/>
      <name val="Calibri"/>
    </font>
    <font>
      <b/>
      <color rgb="FFB34640"/>
      <sz val="10"/>
      <name val="Calibri"/>
    </font>
    <font>
      <b/>
      <color rgb="FF3B1F1A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DEADB"/>
      </patternFill>
    </fill>
    <fill>
      <patternFill patternType="solid">
        <fgColor rgb="FFB34640"/>
      </patternFill>
    </fill>
    <fill>
      <patternFill patternType="solid">
        <fgColor rgb="FFFFF0F5"/>
      </patternFill>
    </fill>
    <fill>
      <patternFill patternType="solid">
        <fgColor rgb="FFF7E2CB"/>
      </patternFill>
    </fill>
    <fill>
      <patternFill patternType="solid">
        <fgColor rgb="FFFBD3DF"/>
      </patternFill>
    </fill>
    <fill>
      <patternFill patternType="solid">
        <fgColor rgb="FF6B4A42"/>
      </patternFill>
    </fill>
  </fills>
  <borders count="4">
    <border>
      <left/>
      <right/>
      <top/>
      <bottom/>
      <diagonal/>
    </border>
    <border>
      <left style="thin">
        <color rgb="FFF59DB7"/>
      </left>
      <right style="thin">
        <color rgb="FFF59DB7"/>
      </right>
      <top style="thin">
        <color rgb="FFF59DB7"/>
      </top>
      <bottom style="thin">
        <color rgb="FFF59DB7"/>
      </bottom>
      <diagonal/>
    </border>
    <border>
      <left style="thin">
        <color rgb="FFE9C9AE"/>
      </left>
      <right style="thin">
        <color rgb="FFE9C9AE"/>
      </right>
      <top style="thin">
        <color rgb="FFE9C9AE"/>
      </top>
      <bottom style="thin">
        <color rgb="FFE9C9AE"/>
      </bottom>
      <diagonal/>
    </border>
    <border>
      <left style="medium">
        <color rgb="FFF59DB7"/>
      </left>
      <right style="medium">
        <color rgb="FFF59DB7"/>
      </right>
      <top style="medium">
        <color rgb="FFF59DB7"/>
      </top>
      <bottom style="medium">
        <color rgb="FFF59DB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 inden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 indent="1"/>
    </xf>
    <xf numFmtId="0" fontId="4" fillId="5" borderId="2" xfId="0" applyFont="1" applyFill="1" applyBorder="1" applyAlignment="1">
      <alignment vertical="center" wrapText="1" indent="1"/>
    </xf>
    <xf numFmtId="0" fontId="0" fillId="4" borderId="1" xfId="0" applyFill="1" applyBorder="1"/>
    <xf numFmtId="0" fontId="0" fillId="5" borderId="2" xfId="0" applyFill="1" applyBorder="1"/>
    <xf numFmtId="0" fontId="4" fillId="6" borderId="1" xfId="0" applyFont="1" applyFill="1" applyBorder="1" applyAlignment="1">
      <alignment vertical="center" wrapText="1" indent="1"/>
    </xf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1" fontId="12" fillId="5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indent="1"/>
    </xf>
    <xf numFmtId="4" fontId="12" fillId="5" borderId="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top" wrapText="1" indent="1"/>
    </xf>
    <xf numFmtId="0" fontId="14" fillId="3" borderId="0" xfId="0" applyFont="1" applyFill="1" applyAlignment="1">
      <alignment vertical="center" indent="1"/>
    </xf>
    <xf numFmtId="0" fontId="8" fillId="6" borderId="0" xfId="0" applyFont="1" applyFill="1" applyAlignment="1">
      <alignment vertical="center" wrapText="1" indent="1"/>
    </xf>
    <xf numFmtId="0" fontId="15" fillId="5" borderId="0" xfId="0" applyFont="1" applyFill="1" applyAlignment="1">
      <alignment vertical="center" indent="1"/>
    </xf>
    <xf numFmtId="0" fontId="16" fillId="3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/>
    </xf>
    <xf numFmtId="4" fontId="18" fillId="4" borderId="1" xfId="0" applyNumberFormat="1" applyFont="1" applyFill="1" applyBorder="1" applyAlignment="1">
      <alignment vertical="center" wrapText="1"/>
    </xf>
    <xf numFmtId="4" fontId="4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 indent="1"/>
    </xf>
    <xf numFmtId="0" fontId="19" fillId="2" borderId="0" xfId="0" applyFont="1" applyFill="1" applyAlignment="1">
      <alignment vertical="center" wrapText="1"/>
    </xf>
    <xf numFmtId="0" fontId="19" fillId="2" borderId="0" xfId="0" applyFont="1" applyFill="1"/>
    <xf numFmtId="0" fontId="0" fillId="4" borderId="1" xfId="0" applyFill="1" applyBorder="1" applyAlignment="1">
      <alignment vertical="top" wrapText="1"/>
    </xf>
    <xf numFmtId="0" fontId="20" fillId="6" borderId="1" xfId="0" applyFont="1" applyFill="1" applyBorder="1" applyAlignment="1">
      <alignment vertical="center" wrapText="1" indent="1"/>
    </xf>
  </cellXfs>
  <cellStyles count="1">
    <cellStyle name="Normal" xfId="0" builtinId="0"/>
  </cellStyles>
  <dxfs count="7"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7A5A00"/>
      </font>
      <fill>
        <patternFill patternType="solid">
          <bgColor rgb="FFFFF1C9"/>
        </patternFill>
      </fill>
    </dxf>
    <dxf>
      <font>
        <b/>
        <color rgb="FFB34640"/>
      </font>
      <fill>
        <patternFill patternType="solid">
          <bgColor rgb="FFFADA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34640"/>
    <pageSetUpPr fitToPage="1"/>
  </sheetPr>
  <dimension ref="A1:H4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6" width="24" customWidth="1"/>
    <col min="7" max="7" width="20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44" customHeight="1" spans="1:8" x14ac:dyDescent="0.25">
      <c r="A2" s="1"/>
      <c r="B2" s="2" t="s">
        <v>0</v>
      </c>
      <c r="C2" s="2"/>
      <c r="D2" s="2"/>
      <c r="E2" s="2"/>
      <c r="F2" s="2"/>
      <c r="G2" s="2"/>
      <c r="H2" s="1"/>
    </row>
    <row r="3" ht="30" customHeight="1" spans="1:8" x14ac:dyDescent="0.25">
      <c r="A3" s="1"/>
      <c r="B3" s="3" t="s">
        <v>1</v>
      </c>
      <c r="C3" s="3"/>
      <c r="D3" s="3"/>
      <c r="E3" s="3"/>
      <c r="F3" s="3"/>
      <c r="G3" s="3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4" t="s">
        <v>2</v>
      </c>
      <c r="C5" s="1"/>
      <c r="D5" s="1"/>
      <c r="E5" s="1"/>
      <c r="F5" s="1"/>
      <c r="G5" s="1"/>
      <c r="H5" s="1"/>
    </row>
    <row r="6" ht="40" customHeight="1" spans="1:8" x14ac:dyDescent="0.25">
      <c r="A6" s="1"/>
      <c r="B6" s="5" t="s">
        <v>3</v>
      </c>
      <c r="C6" s="6" t="s">
        <v>4</v>
      </c>
      <c r="D6" s="6"/>
      <c r="E6" s="6"/>
      <c r="F6" s="6"/>
      <c r="G6" s="6"/>
      <c r="H6" s="1"/>
    </row>
    <row r="7" ht="40" customHeight="1" spans="1:8" x14ac:dyDescent="0.25">
      <c r="A7" s="1"/>
      <c r="B7" s="5" t="s">
        <v>5</v>
      </c>
      <c r="C7" s="6" t="s">
        <v>6</v>
      </c>
      <c r="D7" s="6"/>
      <c r="E7" s="6"/>
      <c r="F7" s="6"/>
      <c r="G7" s="6"/>
      <c r="H7" s="1"/>
    </row>
    <row r="8" ht="40" customHeight="1" spans="1:8" x14ac:dyDescent="0.25">
      <c r="A8" s="1"/>
      <c r="B8" s="5" t="s">
        <v>7</v>
      </c>
      <c r="C8" s="6" t="s">
        <v>8</v>
      </c>
      <c r="D8" s="6"/>
      <c r="E8" s="6"/>
      <c r="F8" s="6"/>
      <c r="G8" s="6"/>
      <c r="H8" s="1"/>
    </row>
    <row r="9" ht="40" customHeight="1" spans="1:8" x14ac:dyDescent="0.25">
      <c r="A9" s="1"/>
      <c r="B9" s="5" t="s">
        <v>9</v>
      </c>
      <c r="C9" s="6" t="s">
        <v>10</v>
      </c>
      <c r="D9" s="6"/>
      <c r="E9" s="6"/>
      <c r="F9" s="6"/>
      <c r="G9" s="6"/>
      <c r="H9" s="1"/>
    </row>
    <row r="10" ht="40" customHeight="1" spans="1:8" x14ac:dyDescent="0.25">
      <c r="A10" s="1"/>
      <c r="B10" s="5" t="s">
        <v>11</v>
      </c>
      <c r="C10" s="6" t="s">
        <v>12</v>
      </c>
      <c r="D10" s="6"/>
      <c r="E10" s="6"/>
      <c r="F10" s="6"/>
      <c r="G10" s="6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4" t="s">
        <v>13</v>
      </c>
      <c r="C12" s="1"/>
      <c r="D12" s="1"/>
      <c r="E12" s="1"/>
      <c r="F12" s="1"/>
      <c r="G12" s="1"/>
      <c r="H12" s="1"/>
    </row>
    <row r="13" ht="26" customHeight="1" spans="1:8" x14ac:dyDescent="0.25">
      <c r="A13" s="1"/>
      <c r="B13" s="7" t="s">
        <v>14</v>
      </c>
      <c r="C13" s="7"/>
      <c r="D13" s="8" t="s">
        <v>15</v>
      </c>
      <c r="E13" s="8"/>
      <c r="F13" s="8"/>
      <c r="G13" s="8"/>
      <c r="H13" s="1"/>
    </row>
    <row r="14" ht="26" customHeight="1" spans="1:8" x14ac:dyDescent="0.25">
      <c r="A14" s="1"/>
      <c r="B14" s="7"/>
      <c r="C14" s="7"/>
      <c r="D14" s="8"/>
      <c r="E14" s="8"/>
      <c r="F14" s="8"/>
      <c r="G14" s="8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4" t="s">
        <v>16</v>
      </c>
      <c r="C16" s="1"/>
      <c r="D16" s="1"/>
      <c r="E16" s="1"/>
      <c r="F16" s="1"/>
      <c r="G16" s="1"/>
      <c r="H16" s="1"/>
    </row>
    <row r="17" spans="1:8" x14ac:dyDescent="0.25">
      <c r="A17" s="1"/>
      <c r="B17" s="9" t="s">
        <v>17</v>
      </c>
      <c r="C17" s="1"/>
      <c r="D17" s="1"/>
      <c r="E17" s="1"/>
      <c r="F17" s="1"/>
      <c r="G17" s="1"/>
      <c r="H17" s="1"/>
    </row>
    <row r="18" spans="1:8" x14ac:dyDescent="0.25">
      <c r="A18" s="1"/>
      <c r="B18" s="10" t="s">
        <v>18</v>
      </c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ht="26" customHeight="1" spans="1:8" x14ac:dyDescent="0.25">
      <c r="A20" s="1"/>
      <c r="B20" s="11" t="s">
        <v>19</v>
      </c>
      <c r="C20" s="11"/>
      <c r="D20" s="11"/>
      <c r="E20" s="11"/>
      <c r="F20" s="11"/>
      <c r="G20" s="11"/>
      <c r="H20" s="1"/>
    </row>
    <row r="21" ht="26" customHeight="1" spans="1:8" x14ac:dyDescent="0.25">
      <c r="A21" s="1"/>
      <c r="B21" s="11"/>
      <c r="C21" s="11"/>
      <c r="D21" s="11"/>
      <c r="E21" s="11"/>
      <c r="F21" s="11"/>
      <c r="G21" s="1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</sheetData>
  <mergeCells count="10">
    <mergeCell ref="B2:G2"/>
    <mergeCell ref="B3:G3"/>
    <mergeCell ref="C6:G6"/>
    <mergeCell ref="C7:G7"/>
    <mergeCell ref="C8:G8"/>
    <mergeCell ref="C9:G9"/>
    <mergeCell ref="C10:G10"/>
    <mergeCell ref="B13:C14"/>
    <mergeCell ref="D13:G14"/>
    <mergeCell ref="B20:G21"/>
  </mergeCells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DB7"/>
    <pageSetUpPr fitToPage="1"/>
  </sheetPr>
  <dimension ref="A1:L22"/>
  <sheetViews>
    <sheetView workbookViewId="0" showGridLines="0"/>
  </sheetViews>
  <sheetFormatPr defaultRowHeight="15" outlineLevelRow="0" outlineLevelCol="0" x14ac:dyDescent="55"/>
  <cols>
    <col min="1" max="1" width="3" customWidth="1"/>
    <col min="2" max="11" width="9.5" customWidth="1"/>
    <col min="12" max="12" width="3" customWidth="1"/>
  </cols>
  <sheetData>
    <row r="1" ht="40" customHeight="1" spans="1:12" x14ac:dyDescent="0.25">
      <c r="A1" s="1"/>
      <c r="B1" s="12" t="s">
        <v>20</v>
      </c>
      <c r="C1" s="12"/>
      <c r="D1" s="12"/>
      <c r="E1" s="12"/>
      <c r="F1" s="12"/>
      <c r="G1" s="12"/>
      <c r="H1" s="12"/>
      <c r="I1" s="12"/>
      <c r="J1" s="12"/>
      <c r="K1" s="12"/>
      <c r="L1" s="1"/>
    </row>
    <row r="2" spans="1:12" x14ac:dyDescent="0.25">
      <c r="A2" s="1"/>
      <c r="B2" s="13" t="s">
        <v>21</v>
      </c>
      <c r="C2" s="13"/>
      <c r="D2" s="13"/>
      <c r="E2" s="13"/>
      <c r="F2" s="13"/>
      <c r="G2" s="13"/>
      <c r="H2" s="13"/>
      <c r="I2" s="13"/>
      <c r="J2" s="13"/>
      <c r="K2" s="13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42" customHeight="1" spans="1:12" x14ac:dyDescent="0.25">
      <c r="A4" s="1"/>
      <c r="B4" s="14">
        <f>"Llevas "&amp;B13&amp;" de 10 ventas"</f>
      </c>
      <c r="C4" s="14"/>
      <c r="D4" s="14"/>
      <c r="E4" s="14"/>
      <c r="F4" s="14"/>
      <c r="G4" s="14"/>
      <c r="H4" s="14"/>
      <c r="I4" s="14"/>
      <c r="J4" s="14"/>
      <c r="K4" s="14"/>
      <c r="L4" s="1"/>
    </row>
    <row r="5" spans="1:12" x14ac:dyDescent="0.25">
      <c r="A5" s="1"/>
      <c r="B5" s="15">
        <f>"Progreso: "&amp;REPT("█",ROUND(MIN(1,B13/10)*20,0))&amp;REPT("░",20-ROUND(MIN(1,B13/10)*20,0))</f>
      </c>
      <c r="C5" s="15"/>
      <c r="D5" s="15"/>
      <c r="E5" s="15"/>
      <c r="F5" s="15"/>
      <c r="G5" s="15"/>
      <c r="H5" s="15"/>
      <c r="I5" s="15"/>
      <c r="J5" s="15"/>
      <c r="K5" s="1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6">
        <v>1</v>
      </c>
      <c r="C7" s="16">
        <v>2</v>
      </c>
      <c r="D7" s="16">
        <v>3</v>
      </c>
      <c r="E7" s="16">
        <v>4</v>
      </c>
      <c r="F7" s="16">
        <v>5</v>
      </c>
      <c r="G7" s="16">
        <v>6</v>
      </c>
      <c r="H7" s="16">
        <v>7</v>
      </c>
      <c r="I7" s="16">
        <v>8</v>
      </c>
      <c r="J7" s="16">
        <v>9</v>
      </c>
      <c r="K7" s="16">
        <v>10</v>
      </c>
      <c r="L7" s="1"/>
    </row>
    <row r="8" ht="52" customHeight="1" spans="1:12" x14ac:dyDescent="0.25">
      <c r="A8" s="1"/>
      <c r="B8" s="17">
        <f>IF($B$13&gt;=1,"✔","○")</f>
      </c>
      <c r="C8" s="17">
        <f>IF($B$13&gt;=2,"✔","○")</f>
      </c>
      <c r="D8" s="17">
        <f>IF($B$13&gt;=3,"✔","○")</f>
      </c>
      <c r="E8" s="17">
        <f>IF($B$13&gt;=4,"✔","○")</f>
      </c>
      <c r="F8" s="17">
        <f>IF($B$13&gt;=5,"✔","○")</f>
      </c>
      <c r="G8" s="17">
        <f>IF($B$13&gt;=6,"✔","○")</f>
      </c>
      <c r="H8" s="17">
        <f>IF($B$13&gt;=7,"✔","○")</f>
      </c>
      <c r="I8" s="17">
        <f>IF($B$13&gt;=8,"✔","○")</f>
      </c>
      <c r="J8" s="17">
        <f>IF($B$13&gt;=9,"✔","○")</f>
      </c>
      <c r="K8" s="17">
        <f>IF($B$13&gt;=10,"✔","○")</f>
      </c>
      <c r="L8" s="1"/>
    </row>
    <row r="9" spans="1:12" x14ac:dyDescent="0.25">
      <c r="A9" s="1"/>
      <c r="B9" s="18" t="s">
        <v>22</v>
      </c>
      <c r="C9" s="18" t="s">
        <v>22</v>
      </c>
      <c r="D9" s="18" t="s">
        <v>22</v>
      </c>
      <c r="E9" s="18" t="s">
        <v>22</v>
      </c>
      <c r="F9" s="18" t="s">
        <v>22</v>
      </c>
      <c r="G9" s="18" t="s">
        <v>22</v>
      </c>
      <c r="H9" s="18" t="s">
        <v>22</v>
      </c>
      <c r="I9" s="18" t="s">
        <v>22</v>
      </c>
      <c r="J9" s="18" t="s">
        <v>22</v>
      </c>
      <c r="K9" s="18" t="s">
        <v>22</v>
      </c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4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26" customHeight="1" spans="1:12" x14ac:dyDescent="0.25">
      <c r="A12" s="1"/>
      <c r="B12" s="19">
        <f>COUNTA(TABLERO!$B$9:$B$68)</f>
      </c>
      <c r="C12" s="20" t="s">
        <v>24</v>
      </c>
      <c r="D12" s="20"/>
      <c r="E12" s="20"/>
      <c r="F12" s="20"/>
      <c r="G12" s="20"/>
      <c r="H12" s="20"/>
      <c r="I12" s="20"/>
      <c r="J12" s="20"/>
      <c r="K12" s="1"/>
      <c r="L12" s="1"/>
    </row>
    <row r="13" ht="26" customHeight="1" spans="1:12" x14ac:dyDescent="0.25">
      <c r="A13" s="1"/>
      <c r="B13" s="19">
        <f>COUNTIF(TABLERO!$H$9:$H$68,"Sí")</f>
      </c>
      <c r="C13" s="20" t="s">
        <v>25</v>
      </c>
      <c r="D13" s="20"/>
      <c r="E13" s="20"/>
      <c r="F13" s="20"/>
      <c r="G13" s="20"/>
      <c r="H13" s="20"/>
      <c r="I13" s="20"/>
      <c r="J13" s="20"/>
      <c r="K13" s="1"/>
      <c r="L13" s="1"/>
    </row>
    <row r="14" ht="26" customHeight="1" spans="1:12" x14ac:dyDescent="0.25">
      <c r="A14" s="1"/>
      <c r="B14" s="19">
        <f>COUNTIF(TABLERO!$L$9:$L$68,"Sí")</f>
      </c>
      <c r="C14" s="20" t="s">
        <v>26</v>
      </c>
      <c r="D14" s="20"/>
      <c r="E14" s="20"/>
      <c r="F14" s="20"/>
      <c r="G14" s="20"/>
      <c r="H14" s="20"/>
      <c r="I14" s="20"/>
      <c r="J14" s="20"/>
      <c r="K14" s="1"/>
      <c r="L14" s="1"/>
    </row>
    <row r="15" ht="26" customHeight="1" spans="1:12" x14ac:dyDescent="0.25">
      <c r="A15" s="1"/>
      <c r="B15" s="19">
        <f>COUNTIF(TABLERO!$F$9:$F$68,"Sí")</f>
      </c>
      <c r="C15" s="20" t="s">
        <v>27</v>
      </c>
      <c r="D15" s="20"/>
      <c r="E15" s="20"/>
      <c r="F15" s="20"/>
      <c r="G15" s="20"/>
      <c r="H15" s="20"/>
      <c r="I15" s="20"/>
      <c r="J15" s="20"/>
      <c r="K15" s="1"/>
      <c r="L15" s="1"/>
    </row>
    <row r="16" ht="26" customHeight="1" spans="1:12" x14ac:dyDescent="0.25">
      <c r="A16" s="1"/>
      <c r="B16" s="19">
        <f>COUNTIF(TABLERO!$G$9:$G$68,"Sí")</f>
      </c>
      <c r="C16" s="20" t="s">
        <v>28</v>
      </c>
      <c r="D16" s="20"/>
      <c r="E16" s="20"/>
      <c r="F16" s="20"/>
      <c r="G16" s="20"/>
      <c r="H16" s="20"/>
      <c r="I16" s="20"/>
      <c r="J16" s="20"/>
      <c r="K16" s="1"/>
      <c r="L16" s="1"/>
    </row>
    <row r="17" ht="26" customHeight="1" spans="1:12" x14ac:dyDescent="0.25">
      <c r="A17" s="1"/>
      <c r="B17" s="21">
        <f>SUM(TABLERO!$I$9:$I$68)</f>
      </c>
      <c r="C17" s="20" t="s">
        <v>29</v>
      </c>
      <c r="D17" s="20"/>
      <c r="E17" s="20"/>
      <c r="F17" s="20"/>
      <c r="G17" s="20"/>
      <c r="H17" s="20"/>
      <c r="I17" s="20"/>
      <c r="J17" s="20"/>
      <c r="K17" s="1"/>
      <c r="L17" s="1"/>
    </row>
    <row r="18" ht="26" customHeight="1" spans="1:12" x14ac:dyDescent="0.25">
      <c r="A18" s="1"/>
      <c r="B18" s="21">
        <f>SUM(TABLERO!$K$9:$K$68)</f>
      </c>
      <c r="C18" s="20" t="s">
        <v>30</v>
      </c>
      <c r="D18" s="20"/>
      <c r="E18" s="20"/>
      <c r="F18" s="20"/>
      <c r="G18" s="20"/>
      <c r="H18" s="20"/>
      <c r="I18" s="20"/>
      <c r="J18" s="20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22" t="s">
        <v>31</v>
      </c>
      <c r="C20" s="22"/>
      <c r="D20" s="22"/>
      <c r="E20" s="22"/>
      <c r="F20" s="22"/>
      <c r="G20" s="22"/>
      <c r="H20" s="22"/>
      <c r="I20" s="22"/>
      <c r="J20" s="22"/>
      <c r="K20" s="22"/>
      <c r="L20" s="1"/>
    </row>
    <row r="21" spans="1:12" x14ac:dyDescent="0.25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12">
    <mergeCell ref="B1:K1"/>
    <mergeCell ref="B2:K2"/>
    <mergeCell ref="B4:K4"/>
    <mergeCell ref="B5:K5"/>
    <mergeCell ref="C12:J12"/>
    <mergeCell ref="C13:J13"/>
    <mergeCell ref="C14:J14"/>
    <mergeCell ref="C15:J15"/>
    <mergeCell ref="C16:J16"/>
    <mergeCell ref="C17:J17"/>
    <mergeCell ref="C18:J18"/>
    <mergeCell ref="B20:K21"/>
  </mergeCells>
  <conditionalFormatting sqref="B8:K8">
    <cfRule type="cellIs" dxfId="0" priority="1" operator="equal">
      <formula>"✔"</formula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DAB5"/>
    <pageSetUpPr fitToPage="1"/>
  </sheetPr>
  <dimension ref="A1:N6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4" customWidth="1"/>
    <col min="4" max="4" width="18" customWidth="1"/>
    <col min="5" max="5" width="22" customWidth="1"/>
    <col min="6" max="8" width="12" customWidth="1"/>
    <col min="9" max="11" width="14" customWidth="1"/>
    <col min="12" max="12" width="12" customWidth="1"/>
    <col min="13" max="13" width="30" customWidth="1"/>
    <col min="14" max="14" width="16" customWidth="1"/>
  </cols>
  <sheetData>
    <row r="1" ht="34" customHeight="1" spans="1:14" x14ac:dyDescent="0.25">
      <c r="A1" s="23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25">
      <c r="A2" s="13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30" customHeight="1" spans="1:14" x14ac:dyDescent="0.25">
      <c r="A4" s="24" t="s">
        <v>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26" customHeight="1" spans="1:14" x14ac:dyDescent="0.25">
      <c r="A6" s="25">
        <f>"Ventas: "&amp;COUNTIF(H9:H68,"Sí")&amp;" de 10   ·   Total vendido: "&amp;TEXT(SUM(I9:I68),"#,##0.00")</f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34" customHeight="1" spans="1:14" x14ac:dyDescent="0.25">
      <c r="A8" s="26" t="s">
        <v>35</v>
      </c>
      <c r="B8" s="26" t="s">
        <v>36</v>
      </c>
      <c r="C8" s="26" t="s">
        <v>37</v>
      </c>
      <c r="D8" s="26" t="s">
        <v>38</v>
      </c>
      <c r="E8" s="26" t="s">
        <v>39</v>
      </c>
      <c r="F8" s="26" t="s">
        <v>40</v>
      </c>
      <c r="G8" s="26" t="s">
        <v>41</v>
      </c>
      <c r="H8" s="26" t="s">
        <v>42</v>
      </c>
      <c r="I8" s="26" t="s">
        <v>43</v>
      </c>
      <c r="J8" s="26" t="s">
        <v>44</v>
      </c>
      <c r="K8" s="27" t="s">
        <v>45</v>
      </c>
      <c r="L8" s="26" t="s">
        <v>46</v>
      </c>
      <c r="M8" s="26" t="s">
        <v>47</v>
      </c>
      <c r="N8" s="27" t="s">
        <v>48</v>
      </c>
    </row>
    <row r="9" ht="22" customHeight="1" spans="1:14" x14ac:dyDescent="0.25">
      <c r="A9" s="28">
        <v>1</v>
      </c>
      <c r="B9" s="29"/>
      <c r="C9" s="29"/>
      <c r="D9" s="29"/>
      <c r="E9" s="29"/>
      <c r="F9" s="30"/>
      <c r="G9" s="30"/>
      <c r="H9" s="30"/>
      <c r="I9" s="31"/>
      <c r="J9" s="31"/>
      <c r="K9" s="32">
        <f>IF(AND(ISNUMBER(I9),ISNUMBER(J9)),I9-J9,"")</f>
      </c>
      <c r="L9" s="30"/>
      <c r="M9" s="29"/>
      <c r="N9" s="33">
        <f>IF(B9="","",IF(L9="Sí","Entregado",IF(H9="Sí","Pedido",IF(G9="Sí","Respondió",IF(F9="Sí","Contactado","Por contactar")))))</f>
      </c>
    </row>
    <row r="10" ht="22" customHeight="1" spans="1:14" x14ac:dyDescent="0.25">
      <c r="A10" s="28">
        <v>2</v>
      </c>
      <c r="B10" s="29"/>
      <c r="C10" s="29"/>
      <c r="D10" s="29"/>
      <c r="E10" s="29"/>
      <c r="F10" s="30"/>
      <c r="G10" s="30"/>
      <c r="H10" s="30"/>
      <c r="I10" s="31"/>
      <c r="J10" s="31"/>
      <c r="K10" s="32">
        <f>IF(AND(ISNUMBER(I10),ISNUMBER(J10)),I10-J10,"")</f>
      </c>
      <c r="L10" s="30"/>
      <c r="M10" s="29"/>
      <c r="N10" s="33">
        <f>IF(B10="","",IF(L10="Sí","Entregado",IF(H10="Sí","Pedido",IF(G10="Sí","Respondió",IF(F10="Sí","Contactado","Por contactar")))))</f>
      </c>
    </row>
    <row r="11" ht="22" customHeight="1" spans="1:14" x14ac:dyDescent="0.25">
      <c r="A11" s="28">
        <v>3</v>
      </c>
      <c r="B11" s="29"/>
      <c r="C11" s="29"/>
      <c r="D11" s="29"/>
      <c r="E11" s="29"/>
      <c r="F11" s="30"/>
      <c r="G11" s="30"/>
      <c r="H11" s="30"/>
      <c r="I11" s="31"/>
      <c r="J11" s="31"/>
      <c r="K11" s="32">
        <f>IF(AND(ISNUMBER(I11),ISNUMBER(J11)),I11-J11,"")</f>
      </c>
      <c r="L11" s="30"/>
      <c r="M11" s="29"/>
      <c r="N11" s="33">
        <f>IF(B11="","",IF(L11="Sí","Entregado",IF(H11="Sí","Pedido",IF(G11="Sí","Respondió",IF(F11="Sí","Contactado","Por contactar")))))</f>
      </c>
    </row>
    <row r="12" ht="22" customHeight="1" spans="1:14" x14ac:dyDescent="0.25">
      <c r="A12" s="28">
        <v>4</v>
      </c>
      <c r="B12" s="29"/>
      <c r="C12" s="29"/>
      <c r="D12" s="29"/>
      <c r="E12" s="29"/>
      <c r="F12" s="30"/>
      <c r="G12" s="30"/>
      <c r="H12" s="30"/>
      <c r="I12" s="31"/>
      <c r="J12" s="31"/>
      <c r="K12" s="32">
        <f>IF(AND(ISNUMBER(I12),ISNUMBER(J12)),I12-J12,"")</f>
      </c>
      <c r="L12" s="30"/>
      <c r="M12" s="29"/>
      <c r="N12" s="33">
        <f>IF(B12="","",IF(L12="Sí","Entregado",IF(H12="Sí","Pedido",IF(G12="Sí","Respondió",IF(F12="Sí","Contactado","Por contactar")))))</f>
      </c>
    </row>
    <row r="13" ht="22" customHeight="1" spans="1:14" x14ac:dyDescent="0.25">
      <c r="A13" s="28">
        <v>5</v>
      </c>
      <c r="B13" s="29"/>
      <c r="C13" s="29"/>
      <c r="D13" s="29"/>
      <c r="E13" s="29"/>
      <c r="F13" s="30"/>
      <c r="G13" s="30"/>
      <c r="H13" s="30"/>
      <c r="I13" s="31"/>
      <c r="J13" s="31"/>
      <c r="K13" s="32">
        <f>IF(AND(ISNUMBER(I13),ISNUMBER(J13)),I13-J13,"")</f>
      </c>
      <c r="L13" s="30"/>
      <c r="M13" s="29"/>
      <c r="N13" s="33">
        <f>IF(B13="","",IF(L13="Sí","Entregado",IF(H13="Sí","Pedido",IF(G13="Sí","Respondió",IF(F13="Sí","Contactado","Por contactar")))))</f>
      </c>
    </row>
    <row r="14" ht="22" customHeight="1" spans="1:14" x14ac:dyDescent="0.25">
      <c r="A14" s="28">
        <v>6</v>
      </c>
      <c r="B14" s="29"/>
      <c r="C14" s="29"/>
      <c r="D14" s="29"/>
      <c r="E14" s="29"/>
      <c r="F14" s="30"/>
      <c r="G14" s="30"/>
      <c r="H14" s="30"/>
      <c r="I14" s="31"/>
      <c r="J14" s="31"/>
      <c r="K14" s="32">
        <f>IF(AND(ISNUMBER(I14),ISNUMBER(J14)),I14-J14,"")</f>
      </c>
      <c r="L14" s="30"/>
      <c r="M14" s="29"/>
      <c r="N14" s="33">
        <f>IF(B14="","",IF(L14="Sí","Entregado",IF(H14="Sí","Pedido",IF(G14="Sí","Respondió",IF(F14="Sí","Contactado","Por contactar")))))</f>
      </c>
    </row>
    <row r="15" ht="22" customHeight="1" spans="1:14" x14ac:dyDescent="0.25">
      <c r="A15" s="28">
        <v>7</v>
      </c>
      <c r="B15" s="29"/>
      <c r="C15" s="29"/>
      <c r="D15" s="29"/>
      <c r="E15" s="29"/>
      <c r="F15" s="30"/>
      <c r="G15" s="30"/>
      <c r="H15" s="30"/>
      <c r="I15" s="31"/>
      <c r="J15" s="31"/>
      <c r="K15" s="32">
        <f>IF(AND(ISNUMBER(I15),ISNUMBER(J15)),I15-J15,"")</f>
      </c>
      <c r="L15" s="30"/>
      <c r="M15" s="29"/>
      <c r="N15" s="33">
        <f>IF(B15="","",IF(L15="Sí","Entregado",IF(H15="Sí","Pedido",IF(G15="Sí","Respondió",IF(F15="Sí","Contactado","Por contactar")))))</f>
      </c>
    </row>
    <row r="16" ht="22" customHeight="1" spans="1:14" x14ac:dyDescent="0.25">
      <c r="A16" s="28">
        <v>8</v>
      </c>
      <c r="B16" s="29"/>
      <c r="C16" s="29"/>
      <c r="D16" s="29"/>
      <c r="E16" s="29"/>
      <c r="F16" s="30"/>
      <c r="G16" s="30"/>
      <c r="H16" s="30"/>
      <c r="I16" s="31"/>
      <c r="J16" s="31"/>
      <c r="K16" s="32">
        <f>IF(AND(ISNUMBER(I16),ISNUMBER(J16)),I16-J16,"")</f>
      </c>
      <c r="L16" s="30"/>
      <c r="M16" s="29"/>
      <c r="N16" s="33">
        <f>IF(B16="","",IF(L16="Sí","Entregado",IF(H16="Sí","Pedido",IF(G16="Sí","Respondió",IF(F16="Sí","Contactado","Por contactar")))))</f>
      </c>
    </row>
    <row r="17" ht="22" customHeight="1" spans="1:14" x14ac:dyDescent="0.25">
      <c r="A17" s="28">
        <v>9</v>
      </c>
      <c r="B17" s="29"/>
      <c r="C17" s="29"/>
      <c r="D17" s="29"/>
      <c r="E17" s="29"/>
      <c r="F17" s="30"/>
      <c r="G17" s="30"/>
      <c r="H17" s="30"/>
      <c r="I17" s="31"/>
      <c r="J17" s="31"/>
      <c r="K17" s="32">
        <f>IF(AND(ISNUMBER(I17),ISNUMBER(J17)),I17-J17,"")</f>
      </c>
      <c r="L17" s="30"/>
      <c r="M17" s="29"/>
      <c r="N17" s="33">
        <f>IF(B17="","",IF(L17="Sí","Entregado",IF(H17="Sí","Pedido",IF(G17="Sí","Respondió",IF(F17="Sí","Contactado","Por contactar")))))</f>
      </c>
    </row>
    <row r="18" ht="22" customHeight="1" spans="1:14" x14ac:dyDescent="0.25">
      <c r="A18" s="28">
        <v>10</v>
      </c>
      <c r="B18" s="29"/>
      <c r="C18" s="29"/>
      <c r="D18" s="29"/>
      <c r="E18" s="29"/>
      <c r="F18" s="30"/>
      <c r="G18" s="30"/>
      <c r="H18" s="30"/>
      <c r="I18" s="31"/>
      <c r="J18" s="31"/>
      <c r="K18" s="32">
        <f>IF(AND(ISNUMBER(I18),ISNUMBER(J18)),I18-J18,"")</f>
      </c>
      <c r="L18" s="30"/>
      <c r="M18" s="29"/>
      <c r="N18" s="33">
        <f>IF(B18="","",IF(L18="Sí","Entregado",IF(H18="Sí","Pedido",IF(G18="Sí","Respondió",IF(F18="Sí","Contactado","Por contactar")))))</f>
      </c>
    </row>
    <row r="19" ht="22" customHeight="1" spans="1:14" x14ac:dyDescent="0.25">
      <c r="A19" s="28">
        <v>11</v>
      </c>
      <c r="B19" s="29"/>
      <c r="C19" s="29"/>
      <c r="D19" s="29"/>
      <c r="E19" s="29"/>
      <c r="F19" s="30"/>
      <c r="G19" s="30"/>
      <c r="H19" s="30"/>
      <c r="I19" s="31"/>
      <c r="J19" s="31"/>
      <c r="K19" s="32">
        <f>IF(AND(ISNUMBER(I19),ISNUMBER(J19)),I19-J19,"")</f>
      </c>
      <c r="L19" s="30"/>
      <c r="M19" s="29"/>
      <c r="N19" s="33">
        <f>IF(B19="","",IF(L19="Sí","Entregado",IF(H19="Sí","Pedido",IF(G19="Sí","Respondió",IF(F19="Sí","Contactado","Por contactar")))))</f>
      </c>
    </row>
    <row r="20" ht="22" customHeight="1" spans="1:14" x14ac:dyDescent="0.25">
      <c r="A20" s="28">
        <v>12</v>
      </c>
      <c r="B20" s="29"/>
      <c r="C20" s="29"/>
      <c r="D20" s="29"/>
      <c r="E20" s="29"/>
      <c r="F20" s="30"/>
      <c r="G20" s="30"/>
      <c r="H20" s="30"/>
      <c r="I20" s="31"/>
      <c r="J20" s="31"/>
      <c r="K20" s="32">
        <f>IF(AND(ISNUMBER(I20),ISNUMBER(J20)),I20-J20,"")</f>
      </c>
      <c r="L20" s="30"/>
      <c r="M20" s="29"/>
      <c r="N20" s="33">
        <f>IF(B20="","",IF(L20="Sí","Entregado",IF(H20="Sí","Pedido",IF(G20="Sí","Respondió",IF(F20="Sí","Contactado","Por contactar")))))</f>
      </c>
    </row>
    <row r="21" ht="22" customHeight="1" spans="1:14" x14ac:dyDescent="0.25">
      <c r="A21" s="28">
        <v>13</v>
      </c>
      <c r="B21" s="29"/>
      <c r="C21" s="29"/>
      <c r="D21" s="29"/>
      <c r="E21" s="29"/>
      <c r="F21" s="30"/>
      <c r="G21" s="30"/>
      <c r="H21" s="30"/>
      <c r="I21" s="31"/>
      <c r="J21" s="31"/>
      <c r="K21" s="32">
        <f>IF(AND(ISNUMBER(I21),ISNUMBER(J21)),I21-J21,"")</f>
      </c>
      <c r="L21" s="30"/>
      <c r="M21" s="29"/>
      <c r="N21" s="33">
        <f>IF(B21="","",IF(L21="Sí","Entregado",IF(H21="Sí","Pedido",IF(G21="Sí","Respondió",IF(F21="Sí","Contactado","Por contactar")))))</f>
      </c>
    </row>
    <row r="22" ht="22" customHeight="1" spans="1:14" x14ac:dyDescent="0.25">
      <c r="A22" s="28">
        <v>14</v>
      </c>
      <c r="B22" s="29"/>
      <c r="C22" s="29"/>
      <c r="D22" s="29"/>
      <c r="E22" s="29"/>
      <c r="F22" s="30"/>
      <c r="G22" s="30"/>
      <c r="H22" s="30"/>
      <c r="I22" s="31"/>
      <c r="J22" s="31"/>
      <c r="K22" s="32">
        <f>IF(AND(ISNUMBER(I22),ISNUMBER(J22)),I22-J22,"")</f>
      </c>
      <c r="L22" s="30"/>
      <c r="M22" s="29"/>
      <c r="N22" s="33">
        <f>IF(B22="","",IF(L22="Sí","Entregado",IF(H22="Sí","Pedido",IF(G22="Sí","Respondió",IF(F22="Sí","Contactado","Por contactar")))))</f>
      </c>
    </row>
    <row r="23" ht="22" customHeight="1" spans="1:14" x14ac:dyDescent="0.25">
      <c r="A23" s="28">
        <v>15</v>
      </c>
      <c r="B23" s="29"/>
      <c r="C23" s="29"/>
      <c r="D23" s="29"/>
      <c r="E23" s="29"/>
      <c r="F23" s="30"/>
      <c r="G23" s="30"/>
      <c r="H23" s="30"/>
      <c r="I23" s="31"/>
      <c r="J23" s="31"/>
      <c r="K23" s="32">
        <f>IF(AND(ISNUMBER(I23),ISNUMBER(J23)),I23-J23,"")</f>
      </c>
      <c r="L23" s="30"/>
      <c r="M23" s="29"/>
      <c r="N23" s="33">
        <f>IF(B23="","",IF(L23="Sí","Entregado",IF(H23="Sí","Pedido",IF(G23="Sí","Respondió",IF(F23="Sí","Contactado","Por contactar")))))</f>
      </c>
    </row>
    <row r="24" ht="22" customHeight="1" spans="1:14" x14ac:dyDescent="0.25">
      <c r="A24" s="28">
        <v>16</v>
      </c>
      <c r="B24" s="29"/>
      <c r="C24" s="29"/>
      <c r="D24" s="29"/>
      <c r="E24" s="29"/>
      <c r="F24" s="30"/>
      <c r="G24" s="30"/>
      <c r="H24" s="30"/>
      <c r="I24" s="31"/>
      <c r="J24" s="31"/>
      <c r="K24" s="32">
        <f>IF(AND(ISNUMBER(I24),ISNUMBER(J24)),I24-J24,"")</f>
      </c>
      <c r="L24" s="30"/>
      <c r="M24" s="29"/>
      <c r="N24" s="33">
        <f>IF(B24="","",IF(L24="Sí","Entregado",IF(H24="Sí","Pedido",IF(G24="Sí","Respondió",IF(F24="Sí","Contactado","Por contactar")))))</f>
      </c>
    </row>
    <row r="25" ht="22" customHeight="1" spans="1:14" x14ac:dyDescent="0.25">
      <c r="A25" s="28">
        <v>17</v>
      </c>
      <c r="B25" s="29"/>
      <c r="C25" s="29"/>
      <c r="D25" s="29"/>
      <c r="E25" s="29"/>
      <c r="F25" s="30"/>
      <c r="G25" s="30"/>
      <c r="H25" s="30"/>
      <c r="I25" s="31"/>
      <c r="J25" s="31"/>
      <c r="K25" s="32">
        <f>IF(AND(ISNUMBER(I25),ISNUMBER(J25)),I25-J25,"")</f>
      </c>
      <c r="L25" s="30"/>
      <c r="M25" s="29"/>
      <c r="N25" s="33">
        <f>IF(B25="","",IF(L25="Sí","Entregado",IF(H25="Sí","Pedido",IF(G25="Sí","Respondió",IF(F25="Sí","Contactado","Por contactar")))))</f>
      </c>
    </row>
    <row r="26" ht="22" customHeight="1" spans="1:14" x14ac:dyDescent="0.25">
      <c r="A26" s="28">
        <v>18</v>
      </c>
      <c r="B26" s="29"/>
      <c r="C26" s="29"/>
      <c r="D26" s="29"/>
      <c r="E26" s="29"/>
      <c r="F26" s="30"/>
      <c r="G26" s="30"/>
      <c r="H26" s="30"/>
      <c r="I26" s="31"/>
      <c r="J26" s="31"/>
      <c r="K26" s="32">
        <f>IF(AND(ISNUMBER(I26),ISNUMBER(J26)),I26-J26,"")</f>
      </c>
      <c r="L26" s="30"/>
      <c r="M26" s="29"/>
      <c r="N26" s="33">
        <f>IF(B26="","",IF(L26="Sí","Entregado",IF(H26="Sí","Pedido",IF(G26="Sí","Respondió",IF(F26="Sí","Contactado","Por contactar")))))</f>
      </c>
    </row>
    <row r="27" ht="22" customHeight="1" spans="1:14" x14ac:dyDescent="0.25">
      <c r="A27" s="28">
        <v>19</v>
      </c>
      <c r="B27" s="29"/>
      <c r="C27" s="29"/>
      <c r="D27" s="29"/>
      <c r="E27" s="29"/>
      <c r="F27" s="30"/>
      <c r="G27" s="30"/>
      <c r="H27" s="30"/>
      <c r="I27" s="31"/>
      <c r="J27" s="31"/>
      <c r="K27" s="32">
        <f>IF(AND(ISNUMBER(I27),ISNUMBER(J27)),I27-J27,"")</f>
      </c>
      <c r="L27" s="30"/>
      <c r="M27" s="29"/>
      <c r="N27" s="33">
        <f>IF(B27="","",IF(L27="Sí","Entregado",IF(H27="Sí","Pedido",IF(G27="Sí","Respondió",IF(F27="Sí","Contactado","Por contactar")))))</f>
      </c>
    </row>
    <row r="28" ht="22" customHeight="1" spans="1:14" x14ac:dyDescent="0.25">
      <c r="A28" s="28">
        <v>20</v>
      </c>
      <c r="B28" s="29"/>
      <c r="C28" s="29"/>
      <c r="D28" s="29"/>
      <c r="E28" s="29"/>
      <c r="F28" s="30"/>
      <c r="G28" s="30"/>
      <c r="H28" s="30"/>
      <c r="I28" s="31"/>
      <c r="J28" s="31"/>
      <c r="K28" s="32">
        <f>IF(AND(ISNUMBER(I28),ISNUMBER(J28)),I28-J28,"")</f>
      </c>
      <c r="L28" s="30"/>
      <c r="M28" s="29"/>
      <c r="N28" s="33">
        <f>IF(B28="","",IF(L28="Sí","Entregado",IF(H28="Sí","Pedido",IF(G28="Sí","Respondió",IF(F28="Sí","Contactado","Por contactar")))))</f>
      </c>
    </row>
    <row r="29" ht="22" customHeight="1" spans="1:14" x14ac:dyDescent="0.25">
      <c r="A29" s="28">
        <v>21</v>
      </c>
      <c r="B29" s="29"/>
      <c r="C29" s="29"/>
      <c r="D29" s="29"/>
      <c r="E29" s="29"/>
      <c r="F29" s="30"/>
      <c r="G29" s="30"/>
      <c r="H29" s="30"/>
      <c r="I29" s="31"/>
      <c r="J29" s="31"/>
      <c r="K29" s="32">
        <f>IF(AND(ISNUMBER(I29),ISNUMBER(J29)),I29-J29,"")</f>
      </c>
      <c r="L29" s="30"/>
      <c r="M29" s="29"/>
      <c r="N29" s="33">
        <f>IF(B29="","",IF(L29="Sí","Entregado",IF(H29="Sí","Pedido",IF(G29="Sí","Respondió",IF(F29="Sí","Contactado","Por contactar")))))</f>
      </c>
    </row>
    <row r="30" ht="22" customHeight="1" spans="1:14" x14ac:dyDescent="0.25">
      <c r="A30" s="28">
        <v>22</v>
      </c>
      <c r="B30" s="29"/>
      <c r="C30" s="29"/>
      <c r="D30" s="29"/>
      <c r="E30" s="29"/>
      <c r="F30" s="30"/>
      <c r="G30" s="30"/>
      <c r="H30" s="30"/>
      <c r="I30" s="31"/>
      <c r="J30" s="31"/>
      <c r="K30" s="32">
        <f>IF(AND(ISNUMBER(I30),ISNUMBER(J30)),I30-J30,"")</f>
      </c>
      <c r="L30" s="30"/>
      <c r="M30" s="29"/>
      <c r="N30" s="33">
        <f>IF(B30="","",IF(L30="Sí","Entregado",IF(H30="Sí","Pedido",IF(G30="Sí","Respondió",IF(F30="Sí","Contactado","Por contactar")))))</f>
      </c>
    </row>
    <row r="31" ht="22" customHeight="1" spans="1:14" x14ac:dyDescent="0.25">
      <c r="A31" s="28">
        <v>23</v>
      </c>
      <c r="B31" s="29"/>
      <c r="C31" s="29"/>
      <c r="D31" s="29"/>
      <c r="E31" s="29"/>
      <c r="F31" s="30"/>
      <c r="G31" s="30"/>
      <c r="H31" s="30"/>
      <c r="I31" s="31"/>
      <c r="J31" s="31"/>
      <c r="K31" s="32">
        <f>IF(AND(ISNUMBER(I31),ISNUMBER(J31)),I31-J31,"")</f>
      </c>
      <c r="L31" s="30"/>
      <c r="M31" s="29"/>
      <c r="N31" s="33">
        <f>IF(B31="","",IF(L31="Sí","Entregado",IF(H31="Sí","Pedido",IF(G31="Sí","Respondió",IF(F31="Sí","Contactado","Por contactar")))))</f>
      </c>
    </row>
    <row r="32" ht="22" customHeight="1" spans="1:14" x14ac:dyDescent="0.25">
      <c r="A32" s="28">
        <v>24</v>
      </c>
      <c r="B32" s="29"/>
      <c r="C32" s="29"/>
      <c r="D32" s="29"/>
      <c r="E32" s="29"/>
      <c r="F32" s="30"/>
      <c r="G32" s="30"/>
      <c r="H32" s="30"/>
      <c r="I32" s="31"/>
      <c r="J32" s="31"/>
      <c r="K32" s="32">
        <f>IF(AND(ISNUMBER(I32),ISNUMBER(J32)),I32-J32,"")</f>
      </c>
      <c r="L32" s="30"/>
      <c r="M32" s="29"/>
      <c r="N32" s="33">
        <f>IF(B32="","",IF(L32="Sí","Entregado",IF(H32="Sí","Pedido",IF(G32="Sí","Respondió",IF(F32="Sí","Contactado","Por contactar")))))</f>
      </c>
    </row>
    <row r="33" ht="22" customHeight="1" spans="1:14" x14ac:dyDescent="0.25">
      <c r="A33" s="28">
        <v>25</v>
      </c>
      <c r="B33" s="29"/>
      <c r="C33" s="29"/>
      <c r="D33" s="29"/>
      <c r="E33" s="29"/>
      <c r="F33" s="30"/>
      <c r="G33" s="30"/>
      <c r="H33" s="30"/>
      <c r="I33" s="31"/>
      <c r="J33" s="31"/>
      <c r="K33" s="32">
        <f>IF(AND(ISNUMBER(I33),ISNUMBER(J33)),I33-J33,"")</f>
      </c>
      <c r="L33" s="30"/>
      <c r="M33" s="29"/>
      <c r="N33" s="33">
        <f>IF(B33="","",IF(L33="Sí","Entregado",IF(H33="Sí","Pedido",IF(G33="Sí","Respondió",IF(F33="Sí","Contactado","Por contactar")))))</f>
      </c>
    </row>
    <row r="34" ht="22" customHeight="1" spans="1:14" x14ac:dyDescent="0.25">
      <c r="A34" s="28">
        <v>26</v>
      </c>
      <c r="B34" s="29"/>
      <c r="C34" s="29"/>
      <c r="D34" s="29"/>
      <c r="E34" s="29"/>
      <c r="F34" s="30"/>
      <c r="G34" s="30"/>
      <c r="H34" s="30"/>
      <c r="I34" s="31"/>
      <c r="J34" s="31"/>
      <c r="K34" s="32">
        <f>IF(AND(ISNUMBER(I34),ISNUMBER(J34)),I34-J34,"")</f>
      </c>
      <c r="L34" s="30"/>
      <c r="M34" s="29"/>
      <c r="N34" s="33">
        <f>IF(B34="","",IF(L34="Sí","Entregado",IF(H34="Sí","Pedido",IF(G34="Sí","Respondió",IF(F34="Sí","Contactado","Por contactar")))))</f>
      </c>
    </row>
    <row r="35" ht="22" customHeight="1" spans="1:14" x14ac:dyDescent="0.25">
      <c r="A35" s="28">
        <v>27</v>
      </c>
      <c r="B35" s="29"/>
      <c r="C35" s="29"/>
      <c r="D35" s="29"/>
      <c r="E35" s="29"/>
      <c r="F35" s="30"/>
      <c r="G35" s="30"/>
      <c r="H35" s="30"/>
      <c r="I35" s="31"/>
      <c r="J35" s="31"/>
      <c r="K35" s="32">
        <f>IF(AND(ISNUMBER(I35),ISNUMBER(J35)),I35-J35,"")</f>
      </c>
      <c r="L35" s="30"/>
      <c r="M35" s="29"/>
      <c r="N35" s="33">
        <f>IF(B35="","",IF(L35="Sí","Entregado",IF(H35="Sí","Pedido",IF(G35="Sí","Respondió",IF(F35="Sí","Contactado","Por contactar")))))</f>
      </c>
    </row>
    <row r="36" ht="22" customHeight="1" spans="1:14" x14ac:dyDescent="0.25">
      <c r="A36" s="28">
        <v>28</v>
      </c>
      <c r="B36" s="29"/>
      <c r="C36" s="29"/>
      <c r="D36" s="29"/>
      <c r="E36" s="29"/>
      <c r="F36" s="30"/>
      <c r="G36" s="30"/>
      <c r="H36" s="30"/>
      <c r="I36" s="31"/>
      <c r="J36" s="31"/>
      <c r="K36" s="32">
        <f>IF(AND(ISNUMBER(I36),ISNUMBER(J36)),I36-J36,"")</f>
      </c>
      <c r="L36" s="30"/>
      <c r="M36" s="29"/>
      <c r="N36" s="33">
        <f>IF(B36="","",IF(L36="Sí","Entregado",IF(H36="Sí","Pedido",IF(G36="Sí","Respondió",IF(F36="Sí","Contactado","Por contactar")))))</f>
      </c>
    </row>
    <row r="37" ht="22" customHeight="1" spans="1:14" x14ac:dyDescent="0.25">
      <c r="A37" s="28">
        <v>29</v>
      </c>
      <c r="B37" s="29"/>
      <c r="C37" s="29"/>
      <c r="D37" s="29"/>
      <c r="E37" s="29"/>
      <c r="F37" s="30"/>
      <c r="G37" s="30"/>
      <c r="H37" s="30"/>
      <c r="I37" s="31"/>
      <c r="J37" s="31"/>
      <c r="K37" s="32">
        <f>IF(AND(ISNUMBER(I37),ISNUMBER(J37)),I37-J37,"")</f>
      </c>
      <c r="L37" s="30"/>
      <c r="M37" s="29"/>
      <c r="N37" s="33">
        <f>IF(B37="","",IF(L37="Sí","Entregado",IF(H37="Sí","Pedido",IF(G37="Sí","Respondió",IF(F37="Sí","Contactado","Por contactar")))))</f>
      </c>
    </row>
    <row r="38" ht="22" customHeight="1" spans="1:14" x14ac:dyDescent="0.25">
      <c r="A38" s="28">
        <v>30</v>
      </c>
      <c r="B38" s="29"/>
      <c r="C38" s="29"/>
      <c r="D38" s="29"/>
      <c r="E38" s="29"/>
      <c r="F38" s="30"/>
      <c r="G38" s="30"/>
      <c r="H38" s="30"/>
      <c r="I38" s="31"/>
      <c r="J38" s="31"/>
      <c r="K38" s="32">
        <f>IF(AND(ISNUMBER(I38),ISNUMBER(J38)),I38-J38,"")</f>
      </c>
      <c r="L38" s="30"/>
      <c r="M38" s="29"/>
      <c r="N38" s="33">
        <f>IF(B38="","",IF(L38="Sí","Entregado",IF(H38="Sí","Pedido",IF(G38="Sí","Respondió",IF(F38="Sí","Contactado","Por contactar")))))</f>
      </c>
    </row>
    <row r="39" ht="22" customHeight="1" spans="1:14" x14ac:dyDescent="0.25">
      <c r="A39" s="28">
        <v>31</v>
      </c>
      <c r="B39" s="29"/>
      <c r="C39" s="29"/>
      <c r="D39" s="29"/>
      <c r="E39" s="29"/>
      <c r="F39" s="30"/>
      <c r="G39" s="30"/>
      <c r="H39" s="30"/>
      <c r="I39" s="31"/>
      <c r="J39" s="31"/>
      <c r="K39" s="32">
        <f>IF(AND(ISNUMBER(I39),ISNUMBER(J39)),I39-J39,"")</f>
      </c>
      <c r="L39" s="30"/>
      <c r="M39" s="29"/>
      <c r="N39" s="33">
        <f>IF(B39="","",IF(L39="Sí","Entregado",IF(H39="Sí","Pedido",IF(G39="Sí","Respondió",IF(F39="Sí","Contactado","Por contactar")))))</f>
      </c>
    </row>
    <row r="40" ht="22" customHeight="1" spans="1:14" x14ac:dyDescent="0.25">
      <c r="A40" s="28">
        <v>32</v>
      </c>
      <c r="B40" s="29"/>
      <c r="C40" s="29"/>
      <c r="D40" s="29"/>
      <c r="E40" s="29"/>
      <c r="F40" s="30"/>
      <c r="G40" s="30"/>
      <c r="H40" s="30"/>
      <c r="I40" s="31"/>
      <c r="J40" s="31"/>
      <c r="K40" s="32">
        <f>IF(AND(ISNUMBER(I40),ISNUMBER(J40)),I40-J40,"")</f>
      </c>
      <c r="L40" s="30"/>
      <c r="M40" s="29"/>
      <c r="N40" s="33">
        <f>IF(B40="","",IF(L40="Sí","Entregado",IF(H40="Sí","Pedido",IF(G40="Sí","Respondió",IF(F40="Sí","Contactado","Por contactar")))))</f>
      </c>
    </row>
    <row r="41" ht="22" customHeight="1" spans="1:14" x14ac:dyDescent="0.25">
      <c r="A41" s="28">
        <v>33</v>
      </c>
      <c r="B41" s="29"/>
      <c r="C41" s="29"/>
      <c r="D41" s="29"/>
      <c r="E41" s="29"/>
      <c r="F41" s="30"/>
      <c r="G41" s="30"/>
      <c r="H41" s="30"/>
      <c r="I41" s="31"/>
      <c r="J41" s="31"/>
      <c r="K41" s="32">
        <f>IF(AND(ISNUMBER(I41),ISNUMBER(J41)),I41-J41,"")</f>
      </c>
      <c r="L41" s="30"/>
      <c r="M41" s="29"/>
      <c r="N41" s="33">
        <f>IF(B41="","",IF(L41="Sí","Entregado",IF(H41="Sí","Pedido",IF(G41="Sí","Respondió",IF(F41="Sí","Contactado","Por contactar")))))</f>
      </c>
    </row>
    <row r="42" ht="22" customHeight="1" spans="1:14" x14ac:dyDescent="0.25">
      <c r="A42" s="28">
        <v>34</v>
      </c>
      <c r="B42" s="29"/>
      <c r="C42" s="29"/>
      <c r="D42" s="29"/>
      <c r="E42" s="29"/>
      <c r="F42" s="30"/>
      <c r="G42" s="30"/>
      <c r="H42" s="30"/>
      <c r="I42" s="31"/>
      <c r="J42" s="31"/>
      <c r="K42" s="32">
        <f>IF(AND(ISNUMBER(I42),ISNUMBER(J42)),I42-J42,"")</f>
      </c>
      <c r="L42" s="30"/>
      <c r="M42" s="29"/>
      <c r="N42" s="33">
        <f>IF(B42="","",IF(L42="Sí","Entregado",IF(H42="Sí","Pedido",IF(G42="Sí","Respondió",IF(F42="Sí","Contactado","Por contactar")))))</f>
      </c>
    </row>
    <row r="43" ht="22" customHeight="1" spans="1:14" x14ac:dyDescent="0.25">
      <c r="A43" s="28">
        <v>35</v>
      </c>
      <c r="B43" s="29"/>
      <c r="C43" s="29"/>
      <c r="D43" s="29"/>
      <c r="E43" s="29"/>
      <c r="F43" s="30"/>
      <c r="G43" s="30"/>
      <c r="H43" s="30"/>
      <c r="I43" s="31"/>
      <c r="J43" s="31"/>
      <c r="K43" s="32">
        <f>IF(AND(ISNUMBER(I43),ISNUMBER(J43)),I43-J43,"")</f>
      </c>
      <c r="L43" s="30"/>
      <c r="M43" s="29"/>
      <c r="N43" s="33">
        <f>IF(B43="","",IF(L43="Sí","Entregado",IF(H43="Sí","Pedido",IF(G43="Sí","Respondió",IF(F43="Sí","Contactado","Por contactar")))))</f>
      </c>
    </row>
    <row r="44" ht="22" customHeight="1" spans="1:14" x14ac:dyDescent="0.25">
      <c r="A44" s="28">
        <v>36</v>
      </c>
      <c r="B44" s="29"/>
      <c r="C44" s="29"/>
      <c r="D44" s="29"/>
      <c r="E44" s="29"/>
      <c r="F44" s="30"/>
      <c r="G44" s="30"/>
      <c r="H44" s="30"/>
      <c r="I44" s="31"/>
      <c r="J44" s="31"/>
      <c r="K44" s="32">
        <f>IF(AND(ISNUMBER(I44),ISNUMBER(J44)),I44-J44,"")</f>
      </c>
      <c r="L44" s="30"/>
      <c r="M44" s="29"/>
      <c r="N44" s="33">
        <f>IF(B44="","",IF(L44="Sí","Entregado",IF(H44="Sí","Pedido",IF(G44="Sí","Respondió",IF(F44="Sí","Contactado","Por contactar")))))</f>
      </c>
    </row>
    <row r="45" ht="22" customHeight="1" spans="1:14" x14ac:dyDescent="0.25">
      <c r="A45" s="28">
        <v>37</v>
      </c>
      <c r="B45" s="29"/>
      <c r="C45" s="29"/>
      <c r="D45" s="29"/>
      <c r="E45" s="29"/>
      <c r="F45" s="30"/>
      <c r="G45" s="30"/>
      <c r="H45" s="30"/>
      <c r="I45" s="31"/>
      <c r="J45" s="31"/>
      <c r="K45" s="32">
        <f>IF(AND(ISNUMBER(I45),ISNUMBER(J45)),I45-J45,"")</f>
      </c>
      <c r="L45" s="30"/>
      <c r="M45" s="29"/>
      <c r="N45" s="33">
        <f>IF(B45="","",IF(L45="Sí","Entregado",IF(H45="Sí","Pedido",IF(G45="Sí","Respondió",IF(F45="Sí","Contactado","Por contactar")))))</f>
      </c>
    </row>
    <row r="46" ht="22" customHeight="1" spans="1:14" x14ac:dyDescent="0.25">
      <c r="A46" s="28">
        <v>38</v>
      </c>
      <c r="B46" s="29"/>
      <c r="C46" s="29"/>
      <c r="D46" s="29"/>
      <c r="E46" s="29"/>
      <c r="F46" s="30"/>
      <c r="G46" s="30"/>
      <c r="H46" s="30"/>
      <c r="I46" s="31"/>
      <c r="J46" s="31"/>
      <c r="K46" s="32">
        <f>IF(AND(ISNUMBER(I46),ISNUMBER(J46)),I46-J46,"")</f>
      </c>
      <c r="L46" s="30"/>
      <c r="M46" s="29"/>
      <c r="N46" s="33">
        <f>IF(B46="","",IF(L46="Sí","Entregado",IF(H46="Sí","Pedido",IF(G46="Sí","Respondió",IF(F46="Sí","Contactado","Por contactar")))))</f>
      </c>
    </row>
    <row r="47" ht="22" customHeight="1" spans="1:14" x14ac:dyDescent="0.25">
      <c r="A47" s="28">
        <v>39</v>
      </c>
      <c r="B47" s="29"/>
      <c r="C47" s="29"/>
      <c r="D47" s="29"/>
      <c r="E47" s="29"/>
      <c r="F47" s="30"/>
      <c r="G47" s="30"/>
      <c r="H47" s="30"/>
      <c r="I47" s="31"/>
      <c r="J47" s="31"/>
      <c r="K47" s="32">
        <f>IF(AND(ISNUMBER(I47),ISNUMBER(J47)),I47-J47,"")</f>
      </c>
      <c r="L47" s="30"/>
      <c r="M47" s="29"/>
      <c r="N47" s="33">
        <f>IF(B47="","",IF(L47="Sí","Entregado",IF(H47="Sí","Pedido",IF(G47="Sí","Respondió",IF(F47="Sí","Contactado","Por contactar")))))</f>
      </c>
    </row>
    <row r="48" ht="22" customHeight="1" spans="1:14" x14ac:dyDescent="0.25">
      <c r="A48" s="28">
        <v>40</v>
      </c>
      <c r="B48" s="29"/>
      <c r="C48" s="29"/>
      <c r="D48" s="29"/>
      <c r="E48" s="29"/>
      <c r="F48" s="30"/>
      <c r="G48" s="30"/>
      <c r="H48" s="30"/>
      <c r="I48" s="31"/>
      <c r="J48" s="31"/>
      <c r="K48" s="32">
        <f>IF(AND(ISNUMBER(I48),ISNUMBER(J48)),I48-J48,"")</f>
      </c>
      <c r="L48" s="30"/>
      <c r="M48" s="29"/>
      <c r="N48" s="33">
        <f>IF(B48="","",IF(L48="Sí","Entregado",IF(H48="Sí","Pedido",IF(G48="Sí","Respondió",IF(F48="Sí","Contactado","Por contactar")))))</f>
      </c>
    </row>
    <row r="49" ht="22" customHeight="1" spans="1:14" x14ac:dyDescent="0.25">
      <c r="A49" s="28">
        <v>41</v>
      </c>
      <c r="B49" s="29"/>
      <c r="C49" s="29"/>
      <c r="D49" s="29"/>
      <c r="E49" s="29"/>
      <c r="F49" s="30"/>
      <c r="G49" s="30"/>
      <c r="H49" s="30"/>
      <c r="I49" s="31"/>
      <c r="J49" s="31"/>
      <c r="K49" s="32">
        <f>IF(AND(ISNUMBER(I49),ISNUMBER(J49)),I49-J49,"")</f>
      </c>
      <c r="L49" s="30"/>
      <c r="M49" s="29"/>
      <c r="N49" s="33">
        <f>IF(B49="","",IF(L49="Sí","Entregado",IF(H49="Sí","Pedido",IF(G49="Sí","Respondió",IF(F49="Sí","Contactado","Por contactar")))))</f>
      </c>
    </row>
    <row r="50" ht="22" customHeight="1" spans="1:14" x14ac:dyDescent="0.25">
      <c r="A50" s="28">
        <v>42</v>
      </c>
      <c r="B50" s="29"/>
      <c r="C50" s="29"/>
      <c r="D50" s="29"/>
      <c r="E50" s="29"/>
      <c r="F50" s="30"/>
      <c r="G50" s="30"/>
      <c r="H50" s="30"/>
      <c r="I50" s="31"/>
      <c r="J50" s="31"/>
      <c r="K50" s="32">
        <f>IF(AND(ISNUMBER(I50),ISNUMBER(J50)),I50-J50,"")</f>
      </c>
      <c r="L50" s="30"/>
      <c r="M50" s="29"/>
      <c r="N50" s="33">
        <f>IF(B50="","",IF(L50="Sí","Entregado",IF(H50="Sí","Pedido",IF(G50="Sí","Respondió",IF(F50="Sí","Contactado","Por contactar")))))</f>
      </c>
    </row>
    <row r="51" ht="22" customHeight="1" spans="1:14" x14ac:dyDescent="0.25">
      <c r="A51" s="28">
        <v>43</v>
      </c>
      <c r="B51" s="29"/>
      <c r="C51" s="29"/>
      <c r="D51" s="29"/>
      <c r="E51" s="29"/>
      <c r="F51" s="30"/>
      <c r="G51" s="30"/>
      <c r="H51" s="30"/>
      <c r="I51" s="31"/>
      <c r="J51" s="31"/>
      <c r="K51" s="32">
        <f>IF(AND(ISNUMBER(I51),ISNUMBER(J51)),I51-J51,"")</f>
      </c>
      <c r="L51" s="30"/>
      <c r="M51" s="29"/>
      <c r="N51" s="33">
        <f>IF(B51="","",IF(L51="Sí","Entregado",IF(H51="Sí","Pedido",IF(G51="Sí","Respondió",IF(F51="Sí","Contactado","Por contactar")))))</f>
      </c>
    </row>
    <row r="52" ht="22" customHeight="1" spans="1:14" x14ac:dyDescent="0.25">
      <c r="A52" s="28">
        <v>44</v>
      </c>
      <c r="B52" s="29"/>
      <c r="C52" s="29"/>
      <c r="D52" s="29"/>
      <c r="E52" s="29"/>
      <c r="F52" s="30"/>
      <c r="G52" s="30"/>
      <c r="H52" s="30"/>
      <c r="I52" s="31"/>
      <c r="J52" s="31"/>
      <c r="K52" s="32">
        <f>IF(AND(ISNUMBER(I52),ISNUMBER(J52)),I52-J52,"")</f>
      </c>
      <c r="L52" s="30"/>
      <c r="M52" s="29"/>
      <c r="N52" s="33">
        <f>IF(B52="","",IF(L52="Sí","Entregado",IF(H52="Sí","Pedido",IF(G52="Sí","Respondió",IF(F52="Sí","Contactado","Por contactar")))))</f>
      </c>
    </row>
    <row r="53" ht="22" customHeight="1" spans="1:14" x14ac:dyDescent="0.25">
      <c r="A53" s="28">
        <v>45</v>
      </c>
      <c r="B53" s="29"/>
      <c r="C53" s="29"/>
      <c r="D53" s="29"/>
      <c r="E53" s="29"/>
      <c r="F53" s="30"/>
      <c r="G53" s="30"/>
      <c r="H53" s="30"/>
      <c r="I53" s="31"/>
      <c r="J53" s="31"/>
      <c r="K53" s="32">
        <f>IF(AND(ISNUMBER(I53),ISNUMBER(J53)),I53-J53,"")</f>
      </c>
      <c r="L53" s="30"/>
      <c r="M53" s="29"/>
      <c r="N53" s="33">
        <f>IF(B53="","",IF(L53="Sí","Entregado",IF(H53="Sí","Pedido",IF(G53="Sí","Respondió",IF(F53="Sí","Contactado","Por contactar")))))</f>
      </c>
    </row>
    <row r="54" ht="22" customHeight="1" spans="1:14" x14ac:dyDescent="0.25">
      <c r="A54" s="28">
        <v>46</v>
      </c>
      <c r="B54" s="29"/>
      <c r="C54" s="29"/>
      <c r="D54" s="29"/>
      <c r="E54" s="29"/>
      <c r="F54" s="30"/>
      <c r="G54" s="30"/>
      <c r="H54" s="30"/>
      <c r="I54" s="31"/>
      <c r="J54" s="31"/>
      <c r="K54" s="32">
        <f>IF(AND(ISNUMBER(I54),ISNUMBER(J54)),I54-J54,"")</f>
      </c>
      <c r="L54" s="30"/>
      <c r="M54" s="29"/>
      <c r="N54" s="33">
        <f>IF(B54="","",IF(L54="Sí","Entregado",IF(H54="Sí","Pedido",IF(G54="Sí","Respondió",IF(F54="Sí","Contactado","Por contactar")))))</f>
      </c>
    </row>
    <row r="55" ht="22" customHeight="1" spans="1:14" x14ac:dyDescent="0.25">
      <c r="A55" s="28">
        <v>47</v>
      </c>
      <c r="B55" s="29"/>
      <c r="C55" s="29"/>
      <c r="D55" s="29"/>
      <c r="E55" s="29"/>
      <c r="F55" s="30"/>
      <c r="G55" s="30"/>
      <c r="H55" s="30"/>
      <c r="I55" s="31"/>
      <c r="J55" s="31"/>
      <c r="K55" s="32">
        <f>IF(AND(ISNUMBER(I55),ISNUMBER(J55)),I55-J55,"")</f>
      </c>
      <c r="L55" s="30"/>
      <c r="M55" s="29"/>
      <c r="N55" s="33">
        <f>IF(B55="","",IF(L55="Sí","Entregado",IF(H55="Sí","Pedido",IF(G55="Sí","Respondió",IF(F55="Sí","Contactado","Por contactar")))))</f>
      </c>
    </row>
    <row r="56" ht="22" customHeight="1" spans="1:14" x14ac:dyDescent="0.25">
      <c r="A56" s="28">
        <v>48</v>
      </c>
      <c r="B56" s="29"/>
      <c r="C56" s="29"/>
      <c r="D56" s="29"/>
      <c r="E56" s="29"/>
      <c r="F56" s="30"/>
      <c r="G56" s="30"/>
      <c r="H56" s="30"/>
      <c r="I56" s="31"/>
      <c r="J56" s="31"/>
      <c r="K56" s="32">
        <f>IF(AND(ISNUMBER(I56),ISNUMBER(J56)),I56-J56,"")</f>
      </c>
      <c r="L56" s="30"/>
      <c r="M56" s="29"/>
      <c r="N56" s="33">
        <f>IF(B56="","",IF(L56="Sí","Entregado",IF(H56="Sí","Pedido",IF(G56="Sí","Respondió",IF(F56="Sí","Contactado","Por contactar")))))</f>
      </c>
    </row>
    <row r="57" ht="22" customHeight="1" spans="1:14" x14ac:dyDescent="0.25">
      <c r="A57" s="28">
        <v>49</v>
      </c>
      <c r="B57" s="29"/>
      <c r="C57" s="29"/>
      <c r="D57" s="29"/>
      <c r="E57" s="29"/>
      <c r="F57" s="30"/>
      <c r="G57" s="30"/>
      <c r="H57" s="30"/>
      <c r="I57" s="31"/>
      <c r="J57" s="31"/>
      <c r="K57" s="32">
        <f>IF(AND(ISNUMBER(I57),ISNUMBER(J57)),I57-J57,"")</f>
      </c>
      <c r="L57" s="30"/>
      <c r="M57" s="29"/>
      <c r="N57" s="33">
        <f>IF(B57="","",IF(L57="Sí","Entregado",IF(H57="Sí","Pedido",IF(G57="Sí","Respondió",IF(F57="Sí","Contactado","Por contactar")))))</f>
      </c>
    </row>
    <row r="58" ht="22" customHeight="1" spans="1:14" x14ac:dyDescent="0.25">
      <c r="A58" s="28">
        <v>50</v>
      </c>
      <c r="B58" s="29"/>
      <c r="C58" s="29"/>
      <c r="D58" s="29"/>
      <c r="E58" s="29"/>
      <c r="F58" s="30"/>
      <c r="G58" s="30"/>
      <c r="H58" s="30"/>
      <c r="I58" s="31"/>
      <c r="J58" s="31"/>
      <c r="K58" s="32">
        <f>IF(AND(ISNUMBER(I58),ISNUMBER(J58)),I58-J58,"")</f>
      </c>
      <c r="L58" s="30"/>
      <c r="M58" s="29"/>
      <c r="N58" s="33">
        <f>IF(B58="","",IF(L58="Sí","Entregado",IF(H58="Sí","Pedido",IF(G58="Sí","Respondió",IF(F58="Sí","Contactado","Por contactar")))))</f>
      </c>
    </row>
    <row r="59" ht="22" customHeight="1" spans="1:14" x14ac:dyDescent="0.25">
      <c r="A59" s="28">
        <v>51</v>
      </c>
      <c r="B59" s="29"/>
      <c r="C59" s="29"/>
      <c r="D59" s="29"/>
      <c r="E59" s="29"/>
      <c r="F59" s="30"/>
      <c r="G59" s="30"/>
      <c r="H59" s="30"/>
      <c r="I59" s="31"/>
      <c r="J59" s="31"/>
      <c r="K59" s="32">
        <f>IF(AND(ISNUMBER(I59),ISNUMBER(J59)),I59-J59,"")</f>
      </c>
      <c r="L59" s="30"/>
      <c r="M59" s="29"/>
      <c r="N59" s="33">
        <f>IF(B59="","",IF(L59="Sí","Entregado",IF(H59="Sí","Pedido",IF(G59="Sí","Respondió",IF(F59="Sí","Contactado","Por contactar")))))</f>
      </c>
    </row>
    <row r="60" ht="22" customHeight="1" spans="1:14" x14ac:dyDescent="0.25">
      <c r="A60" s="28">
        <v>52</v>
      </c>
      <c r="B60" s="29"/>
      <c r="C60" s="29"/>
      <c r="D60" s="29"/>
      <c r="E60" s="29"/>
      <c r="F60" s="30"/>
      <c r="G60" s="30"/>
      <c r="H60" s="30"/>
      <c r="I60" s="31"/>
      <c r="J60" s="31"/>
      <c r="K60" s="32">
        <f>IF(AND(ISNUMBER(I60),ISNUMBER(J60)),I60-J60,"")</f>
      </c>
      <c r="L60" s="30"/>
      <c r="M60" s="29"/>
      <c r="N60" s="33">
        <f>IF(B60="","",IF(L60="Sí","Entregado",IF(H60="Sí","Pedido",IF(G60="Sí","Respondió",IF(F60="Sí","Contactado","Por contactar")))))</f>
      </c>
    </row>
    <row r="61" ht="22" customHeight="1" spans="1:14" x14ac:dyDescent="0.25">
      <c r="A61" s="28">
        <v>53</v>
      </c>
      <c r="B61" s="29"/>
      <c r="C61" s="29"/>
      <c r="D61" s="29"/>
      <c r="E61" s="29"/>
      <c r="F61" s="30"/>
      <c r="G61" s="30"/>
      <c r="H61" s="30"/>
      <c r="I61" s="31"/>
      <c r="J61" s="31"/>
      <c r="K61" s="32">
        <f>IF(AND(ISNUMBER(I61),ISNUMBER(J61)),I61-J61,"")</f>
      </c>
      <c r="L61" s="30"/>
      <c r="M61" s="29"/>
      <c r="N61" s="33">
        <f>IF(B61="","",IF(L61="Sí","Entregado",IF(H61="Sí","Pedido",IF(G61="Sí","Respondió",IF(F61="Sí","Contactado","Por contactar")))))</f>
      </c>
    </row>
    <row r="62" ht="22" customHeight="1" spans="1:14" x14ac:dyDescent="0.25">
      <c r="A62" s="28">
        <v>54</v>
      </c>
      <c r="B62" s="29"/>
      <c r="C62" s="29"/>
      <c r="D62" s="29"/>
      <c r="E62" s="29"/>
      <c r="F62" s="30"/>
      <c r="G62" s="30"/>
      <c r="H62" s="30"/>
      <c r="I62" s="31"/>
      <c r="J62" s="31"/>
      <c r="K62" s="32">
        <f>IF(AND(ISNUMBER(I62),ISNUMBER(J62)),I62-J62,"")</f>
      </c>
      <c r="L62" s="30"/>
      <c r="M62" s="29"/>
      <c r="N62" s="33">
        <f>IF(B62="","",IF(L62="Sí","Entregado",IF(H62="Sí","Pedido",IF(G62="Sí","Respondió",IF(F62="Sí","Contactado","Por contactar")))))</f>
      </c>
    </row>
    <row r="63" ht="22" customHeight="1" spans="1:14" x14ac:dyDescent="0.25">
      <c r="A63" s="28">
        <v>55</v>
      </c>
      <c r="B63" s="29"/>
      <c r="C63" s="29"/>
      <c r="D63" s="29"/>
      <c r="E63" s="29"/>
      <c r="F63" s="30"/>
      <c r="G63" s="30"/>
      <c r="H63" s="30"/>
      <c r="I63" s="31"/>
      <c r="J63" s="31"/>
      <c r="K63" s="32">
        <f>IF(AND(ISNUMBER(I63),ISNUMBER(J63)),I63-J63,"")</f>
      </c>
      <c r="L63" s="30"/>
      <c r="M63" s="29"/>
      <c r="N63" s="33">
        <f>IF(B63="","",IF(L63="Sí","Entregado",IF(H63="Sí","Pedido",IF(G63="Sí","Respondió",IF(F63="Sí","Contactado","Por contactar")))))</f>
      </c>
    </row>
    <row r="64" ht="22" customHeight="1" spans="1:14" x14ac:dyDescent="0.25">
      <c r="A64" s="28">
        <v>56</v>
      </c>
      <c r="B64" s="29"/>
      <c r="C64" s="29"/>
      <c r="D64" s="29"/>
      <c r="E64" s="29"/>
      <c r="F64" s="30"/>
      <c r="G64" s="30"/>
      <c r="H64" s="30"/>
      <c r="I64" s="31"/>
      <c r="J64" s="31"/>
      <c r="K64" s="32">
        <f>IF(AND(ISNUMBER(I64),ISNUMBER(J64)),I64-J64,"")</f>
      </c>
      <c r="L64" s="30"/>
      <c r="M64" s="29"/>
      <c r="N64" s="33">
        <f>IF(B64="","",IF(L64="Sí","Entregado",IF(H64="Sí","Pedido",IF(G64="Sí","Respondió",IF(F64="Sí","Contactado","Por contactar")))))</f>
      </c>
    </row>
    <row r="65" ht="22" customHeight="1" spans="1:14" x14ac:dyDescent="0.25">
      <c r="A65" s="28">
        <v>57</v>
      </c>
      <c r="B65" s="29"/>
      <c r="C65" s="29"/>
      <c r="D65" s="29"/>
      <c r="E65" s="29"/>
      <c r="F65" s="30"/>
      <c r="G65" s="30"/>
      <c r="H65" s="30"/>
      <c r="I65" s="31"/>
      <c r="J65" s="31"/>
      <c r="K65" s="32">
        <f>IF(AND(ISNUMBER(I65),ISNUMBER(J65)),I65-J65,"")</f>
      </c>
      <c r="L65" s="30"/>
      <c r="M65" s="29"/>
      <c r="N65" s="33">
        <f>IF(B65="","",IF(L65="Sí","Entregado",IF(H65="Sí","Pedido",IF(G65="Sí","Respondió",IF(F65="Sí","Contactado","Por contactar")))))</f>
      </c>
    </row>
    <row r="66" ht="22" customHeight="1" spans="1:14" x14ac:dyDescent="0.25">
      <c r="A66" s="28">
        <v>58</v>
      </c>
      <c r="B66" s="29"/>
      <c r="C66" s="29"/>
      <c r="D66" s="29"/>
      <c r="E66" s="29"/>
      <c r="F66" s="30"/>
      <c r="G66" s="30"/>
      <c r="H66" s="30"/>
      <c r="I66" s="31"/>
      <c r="J66" s="31"/>
      <c r="K66" s="32">
        <f>IF(AND(ISNUMBER(I66),ISNUMBER(J66)),I66-J66,"")</f>
      </c>
      <c r="L66" s="30"/>
      <c r="M66" s="29"/>
      <c r="N66" s="33">
        <f>IF(B66="","",IF(L66="Sí","Entregado",IF(H66="Sí","Pedido",IF(G66="Sí","Respondió",IF(F66="Sí","Contactado","Por contactar")))))</f>
      </c>
    </row>
    <row r="67" ht="22" customHeight="1" spans="1:14" x14ac:dyDescent="0.25">
      <c r="A67" s="28">
        <v>59</v>
      </c>
      <c r="B67" s="29"/>
      <c r="C67" s="29"/>
      <c r="D67" s="29"/>
      <c r="E67" s="29"/>
      <c r="F67" s="30"/>
      <c r="G67" s="30"/>
      <c r="H67" s="30"/>
      <c r="I67" s="31"/>
      <c r="J67" s="31"/>
      <c r="K67" s="32">
        <f>IF(AND(ISNUMBER(I67),ISNUMBER(J67)),I67-J67,"")</f>
      </c>
      <c r="L67" s="30"/>
      <c r="M67" s="29"/>
      <c r="N67" s="33">
        <f>IF(B67="","",IF(L67="Sí","Entregado",IF(H67="Sí","Pedido",IF(G67="Sí","Respondió",IF(F67="Sí","Contactado","Por contactar")))))</f>
      </c>
    </row>
    <row r="68" ht="22" customHeight="1" spans="1:14" x14ac:dyDescent="0.25">
      <c r="A68" s="28">
        <v>60</v>
      </c>
      <c r="B68" s="29"/>
      <c r="C68" s="29"/>
      <c r="D68" s="29"/>
      <c r="E68" s="29"/>
      <c r="F68" s="30"/>
      <c r="G68" s="30"/>
      <c r="H68" s="30"/>
      <c r="I68" s="31"/>
      <c r="J68" s="31"/>
      <c r="K68" s="32">
        <f>IF(AND(ISNUMBER(I68),ISNUMBER(J68)),I68-J68,"")</f>
      </c>
      <c r="L68" s="30"/>
      <c r="M68" s="29"/>
      <c r="N68" s="33">
        <f>IF(B68="","",IF(L68="Sí","Entregado",IF(H68="Sí","Pedido",IF(G68="Sí","Respondió",IF(F68="Sí","Contactado","Por contactar")))))</f>
      </c>
    </row>
  </sheetData>
  <mergeCells count="4">
    <mergeCell ref="A1:N1"/>
    <mergeCell ref="A2:N2"/>
    <mergeCell ref="A4:N4"/>
    <mergeCell ref="A6:N6"/>
  </mergeCells>
  <conditionalFormatting sqref="F9:H68">
    <cfRule type="cellIs" dxfId="1" priority="1" operator="equal">
      <formula>"Sí"</formula>
    </cfRule>
  </conditionalFormatting>
  <conditionalFormatting sqref="L9:L68">
    <cfRule type="cellIs" dxfId="2" priority="2" operator="equal">
      <formula>"Sí"</formula>
    </cfRule>
  </conditionalFormatting>
  <conditionalFormatting sqref="N9:N68">
    <cfRule type="cellIs" dxfId="3" priority="3" operator="equal">
      <formula>"Entregado"</formula>
    </cfRule>
    <cfRule type="cellIs" dxfId="4" priority="4" operator="equal">
      <formula>"Pedido"</formula>
    </cfRule>
    <cfRule type="cellIs" dxfId="5" priority="5" operator="equal">
      <formula>"Respondió"</formula>
    </cfRule>
    <cfRule type="cellIs" dxfId="6" priority="6" operator="equal">
      <formula>"Contactado"</formula>
    </cfRule>
  </conditionalFormatting>
  <dataValidations count="10">
    <dataValidation type="list" allowBlank="1" showErrorMessage="1" errorTitle="Elige de la lista" error="Usa una opción de la lista desplegable." sqref="C10:C68">
      <formula1>"Vecino/a,Comercio cercano,Oficina o consultorio,Peluquería o salón,Gimnasio o club,Escuela o comunidad,Persona de un grupo del barrio,Conocido/a,Familiar,Otro"</formula1>
    </dataValidation>
    <dataValidation type="list" allowBlank="1" showErrorMessage="1" errorTitle="Elige de la lista" error="Usa una opción de la lista desplegable." sqref="C9:C68">
      <formula1>"Vecino/a,Comercio cercano,Oficina o consultorio,Peluquería o salón,Gimnasio o club,Escuela o comunidad,Persona de un grupo del barrio,Conocido/a,Familiar,Otro"</formula1>
    </dataValidation>
    <dataValidation type="list" allowBlank="1" showErrorMessage="1" errorTitle="Elige de la lista" error="Usa una opción de la lista desplegable." sqref="E10:E68">
      <formula1>"WhatsApp,Mensaje en Facebook,Mensaje en Instagram,En persona,Llamada,Otro"</formula1>
    </dataValidation>
    <dataValidation type="list" allowBlank="1" showErrorMessage="1" errorTitle="Elige de la lista" error="Usa una opción de la lista desplegable." sqref="E9:E68">
      <formula1>"WhatsApp,Mensaje en Facebook,Mensaje en Instagram,En persona,Llamada,Otro"</formula1>
    </dataValidation>
    <dataValidation type="list" allowBlank="1" showErrorMessage="1" errorTitle="Elige de la lista" error="Usa una opción de la lista desplegable." sqref="F10:H68">
      <formula1>"Sí,No"</formula1>
    </dataValidation>
    <dataValidation type="list" allowBlank="1" showErrorMessage="1" errorTitle="Elige de la lista" error="Usa una opción de la lista desplegable." sqref="F9:H68">
      <formula1>"Sí,No"</formula1>
    </dataValidation>
    <dataValidation type="decimal" operator="greaterThanOrEqual" allowBlank="1" showErrorMessage="1" errorTitle="Escribe un número" error="Escribe solo un número (sin letras), por ejemplo 21 o 21,50." sqref="I10:J68">
      <formula1>0</formula1>
    </dataValidation>
    <dataValidation type="decimal" operator="greaterThanOrEqual" allowBlank="1" showErrorMessage="1" errorTitle="Escribe un número" error="Escribe solo un número (sin letras), por ejemplo 21 o 21,50." sqref="I9:J68">
      <formula1>0</formula1>
    </dataValidation>
    <dataValidation type="list" allowBlank="1" showErrorMessage="1" errorTitle="Elige de la lista" error="Usa una opción de la lista desplegable." sqref="L10:L68">
      <formula1>"Sí,No"</formula1>
    </dataValidation>
    <dataValidation type="list" allowBlank="1" showErrorMessage="1" errorTitle="Elige de la lista" error="Usa una opción de la lista desplegable." sqref="L9:L68">
      <formula1>"Sí,No"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E7A5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3" width="34" customWidth="1"/>
    <col min="4" max="4" width="20" customWidth="1"/>
    <col min="5" max="5" width="34" customWidth="1"/>
    <col min="6" max="6" width="3" customWidth="1"/>
  </cols>
  <sheetData>
    <row r="1" ht="38" customHeight="1" spans="1:6" x14ac:dyDescent="0.25">
      <c r="A1" s="1"/>
      <c r="B1" s="12" t="s">
        <v>49</v>
      </c>
      <c r="C1" s="12"/>
      <c r="D1" s="12"/>
      <c r="E1" s="12"/>
      <c r="F1" s="1"/>
    </row>
    <row r="2" ht="30" customHeight="1" spans="1:6" x14ac:dyDescent="0.25">
      <c r="A2" s="1"/>
      <c r="B2" s="34" t="s">
        <v>50</v>
      </c>
      <c r="C2" s="34"/>
      <c r="D2" s="34"/>
      <c r="E2" s="34"/>
      <c r="F2" s="1"/>
    </row>
    <row r="3" spans="1:6" x14ac:dyDescent="0.25">
      <c r="A3" s="1"/>
      <c r="B3" s="1"/>
      <c r="C3" s="1"/>
      <c r="D3" s="1"/>
      <c r="E3" s="1"/>
      <c r="F3" s="1"/>
    </row>
    <row r="4" ht="30" customHeight="1" spans="1:6" x14ac:dyDescent="0.25">
      <c r="A4" s="1"/>
      <c r="B4" s="35" t="s">
        <v>51</v>
      </c>
      <c r="C4" s="29"/>
      <c r="D4" s="35" t="s">
        <v>52</v>
      </c>
      <c r="E4" s="29"/>
      <c r="F4" s="1"/>
    </row>
    <row r="5" ht="30" customHeight="1" spans="1:6" x14ac:dyDescent="0.25">
      <c r="A5" s="1"/>
      <c r="B5" s="35" t="s">
        <v>53</v>
      </c>
      <c r="C5" s="29"/>
      <c r="D5" s="35" t="s">
        <v>54</v>
      </c>
      <c r="E5" s="29"/>
      <c r="F5" s="1"/>
    </row>
    <row r="6" ht="30" customHeight="1" spans="1:6" x14ac:dyDescent="0.25">
      <c r="A6" s="1"/>
      <c r="B6" s="35" t="s">
        <v>55</v>
      </c>
      <c r="C6" s="29"/>
      <c r="D6" s="35" t="s">
        <v>56</v>
      </c>
      <c r="E6" s="29"/>
      <c r="F6" s="1"/>
    </row>
    <row r="7" ht="30" customHeight="1" spans="1:6" x14ac:dyDescent="0.25">
      <c r="A7" s="1"/>
      <c r="B7" s="35" t="s">
        <v>57</v>
      </c>
      <c r="C7" s="29"/>
      <c r="D7" s="35" t="s">
        <v>58</v>
      </c>
      <c r="E7" s="29"/>
      <c r="F7" s="1"/>
    </row>
    <row r="8" ht="30" customHeight="1" spans="1:6" x14ac:dyDescent="0.25">
      <c r="A8" s="1"/>
      <c r="B8" s="35" t="s">
        <v>59</v>
      </c>
      <c r="C8" s="29"/>
      <c r="D8" s="35" t="s">
        <v>60</v>
      </c>
      <c r="E8" s="31"/>
      <c r="F8" s="1"/>
    </row>
    <row r="9" ht="30" customHeight="1" spans="1:6" x14ac:dyDescent="0.25">
      <c r="A9" s="1"/>
      <c r="B9" s="35" t="s">
        <v>61</v>
      </c>
      <c r="C9" s="29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36" t="s">
        <v>62</v>
      </c>
      <c r="C11" s="36"/>
      <c r="D11" s="36"/>
      <c r="E11" s="36"/>
      <c r="F11" s="1"/>
    </row>
    <row r="12" ht="24" customHeight="1" spans="1:6" x14ac:dyDescent="0.25">
      <c r="A12" s="1"/>
      <c r="B12" s="37"/>
      <c r="C12" s="37"/>
      <c r="D12" s="37"/>
      <c r="E12" s="37"/>
      <c r="F12" s="1"/>
    </row>
    <row r="13" ht="24" customHeight="1" spans="1:6" x14ac:dyDescent="0.25">
      <c r="A13" s="1"/>
      <c r="B13" s="37"/>
      <c r="C13" s="37"/>
      <c r="D13" s="37"/>
      <c r="E13" s="37"/>
      <c r="F13" s="1"/>
    </row>
    <row r="14" ht="24" customHeight="1" spans="1:6" x14ac:dyDescent="0.25">
      <c r="A14" s="1"/>
      <c r="B14" s="37"/>
      <c r="C14" s="37"/>
      <c r="D14" s="37"/>
      <c r="E14" s="37"/>
      <c r="F14" s="1"/>
    </row>
    <row r="15" ht="24" customHeight="1" spans="1:6" x14ac:dyDescent="0.25">
      <c r="A15" s="1"/>
      <c r="B15" s="37"/>
      <c r="C15" s="37"/>
      <c r="D15" s="37"/>
      <c r="E15" s="37"/>
      <c r="F15" s="1"/>
    </row>
    <row r="16" spans="1:6" x14ac:dyDescent="0.25">
      <c r="A16" s="1"/>
      <c r="B16" s="1"/>
      <c r="C16" s="1"/>
      <c r="D16" s="1"/>
      <c r="E16" s="1"/>
      <c r="F16" s="1"/>
    </row>
    <row r="17" ht="24" customHeight="1" spans="1:6" x14ac:dyDescent="0.25">
      <c r="A17" s="1"/>
      <c r="B17" s="38" t="s">
        <v>63</v>
      </c>
      <c r="C17" s="38"/>
      <c r="D17" s="38"/>
      <c r="E17" s="38"/>
      <c r="F17" s="1"/>
    </row>
    <row r="18" ht="24" customHeight="1" spans="1:6" x14ac:dyDescent="0.25">
      <c r="A18" s="1"/>
      <c r="B18" s="38"/>
      <c r="C18" s="38"/>
      <c r="D18" s="38"/>
      <c r="E18" s="38"/>
      <c r="F18" s="1"/>
    </row>
    <row r="19" ht="24" customHeight="1" spans="1:6" x14ac:dyDescent="0.25">
      <c r="A19" s="1"/>
      <c r="B19" s="38"/>
      <c r="C19" s="38"/>
      <c r="D19" s="38"/>
      <c r="E19" s="38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mergeCells count="5">
    <mergeCell ref="B1:E1"/>
    <mergeCell ref="B2:E2"/>
    <mergeCell ref="B11:E11"/>
    <mergeCell ref="B12:E15"/>
    <mergeCell ref="B17:E19"/>
  </mergeCells>
  <dataValidations count="3">
    <dataValidation type="list" allowBlank="1" showErrorMessage="1" errorTitle="Elige de la lista" error="Usa una opción de la lista desplegable." sqref="C9">
      <formula1>"Sin pagar,Pago parcial (anticipo),Pagado,Se paga al entregar"</formula1>
    </dataValidation>
    <dataValidation type="list" allowBlank="1" showErrorMessage="1" errorTitle="Elige de la lista" error="Usa una opción de la lista desplegable." sqref="E7">
      <formula1>"Retiro,Entrega"</formula1>
    </dataValidation>
    <dataValidation type="decimal" operator="greaterThanOrEqual" allowBlank="1" showErrorMessage="1" errorTitle="Escribe un número" error="Escribe solo un número (sin letras), por ejemplo 21 o 21,50." sqref="E8">
      <formula1>0</formula1>
    </dataValidation>
  </dataValidations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EMPIEZA AQUÍ 👋</vt:lpstr>
      <vt:lpstr>MIS 10 VENTAS</vt:lpstr>
      <vt:lpstr>TABLERO</vt:lpstr>
      <vt:lpstr>FICHA DE PEDIDO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Primeras 10 Ventas</dc:creator>
  <dc:title>Tablero Primeras 10 Ventas</dc:title>
  <dc:subject/>
  <dc:description/>
  <cp:keywords/>
  <cp:category/>
  <cp:lastModifiedBy>Unknown</cp:lastModifiedBy>
  <dcterms:created xsi:type="dcterms:W3CDTF">2026-09-30T03:39:26Z</dcterms:created>
  <dcterms:modified xsi:type="dcterms:W3CDTF">2026-09-30T03:39:26Z</dcterms:modified>
</cp:coreProperties>
</file>